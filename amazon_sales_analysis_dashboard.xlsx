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ml.chartshape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codeName="ThisWorkbook" hidePivotFieldList="1"/>
  <bookViews>
    <workbookView xWindow="0" yWindow="0" windowWidth="23040" windowHeight="12648" activeTab="4"/>
  </bookViews>
  <sheets>
    <sheet name="RAW data" sheetId="1" r:id="rId1"/>
    <sheet name="Formula sheet" sheetId="2" r:id="rId2"/>
    <sheet name="CLEANED data" sheetId="3" r:id="rId3"/>
    <sheet name="Pivot data" sheetId="7" r:id="rId4"/>
    <sheet name="DASHBOARD" sheetId="6" r:id="rId5"/>
  </sheets>
  <definedNames>
    <definedName name="_xlnm._FilterDatabase" localSheetId="1" hidden="1">'Formula sheet'!$I$1:$I$174</definedName>
    <definedName name="AMAZON_SALESORDER">'CLEANED data'!$A$1:$O$172</definedName>
    <definedName name="Slicer_ORDER_MONTH1">#N/A</definedName>
    <definedName name="Slicer_ORDER_STATUS">#N/A</definedName>
    <definedName name="Slicer_PAYMENT">#N/A</definedName>
    <definedName name="Slicer_SHIP_STATE">#N/A</definedName>
    <definedName name="Slicer_Years1">#N/A</definedName>
  </definedNames>
  <calcPr calcId="144525"/>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Z172" i="2" l="1"/>
  <c r="Z172" i="2" a="1"/>
  <c r="S172" i="2"/>
  <c r="O172" i="2"/>
  <c r="M172" i="2"/>
  <c r="Z171" i="2"/>
  <c r="Z171" i="2" a="1"/>
  <c r="S171" i="2"/>
  <c r="O171" i="2"/>
  <c r="M171" i="2"/>
  <c r="Z170" i="2"/>
  <c r="Z170" i="2" a="1"/>
  <c r="S170" i="2"/>
  <c r="O170" i="2"/>
  <c r="M170" i="2"/>
  <c r="Z169" i="2"/>
  <c r="Z169" i="2" a="1"/>
  <c r="S169" i="2"/>
  <c r="O169" i="2"/>
  <c r="M169" i="2"/>
  <c r="Z168" i="2"/>
  <c r="Z168" i="2" a="1"/>
  <c r="S168" i="2"/>
  <c r="O168" i="2"/>
  <c r="M168" i="2"/>
  <c r="Z167" i="2"/>
  <c r="Z167" i="2" a="1"/>
  <c r="S167" i="2"/>
  <c r="O167" i="2"/>
  <c r="M167" i="2"/>
  <c r="Z166" i="2"/>
  <c r="Z166" i="2" a="1"/>
  <c r="S166" i="2"/>
  <c r="O166" i="2"/>
  <c r="M166" i="2"/>
  <c r="Z165" i="2"/>
  <c r="Z165" i="2" a="1"/>
  <c r="S165" i="2"/>
  <c r="O165" i="2"/>
  <c r="M165" i="2"/>
  <c r="Z164" i="2"/>
  <c r="Z164" i="2" a="1"/>
  <c r="S164" i="2"/>
  <c r="O164" i="2"/>
  <c r="M164" i="2"/>
  <c r="Z163" i="2"/>
  <c r="Z163" i="2" a="1"/>
  <c r="S163" i="2"/>
  <c r="O163" i="2"/>
  <c r="M163" i="2"/>
  <c r="Z162" i="2"/>
  <c r="Z162" i="2" a="1"/>
  <c r="S162" i="2"/>
  <c r="O162" i="2"/>
  <c r="M162" i="2"/>
  <c r="Z161" i="2"/>
  <c r="Z161" i="2" a="1"/>
  <c r="S161" i="2"/>
  <c r="O161" i="2"/>
  <c r="M161" i="2"/>
  <c r="Z160" i="2"/>
  <c r="Z160" i="2" a="1"/>
  <c r="S160" i="2"/>
  <c r="O160" i="2"/>
  <c r="M160" i="2"/>
  <c r="Z159" i="2"/>
  <c r="Z159" i="2" a="1"/>
  <c r="S159" i="2"/>
  <c r="O159" i="2"/>
  <c r="M159" i="2"/>
  <c r="Z158" i="2"/>
  <c r="Z158" i="2" a="1"/>
  <c r="S158" i="2"/>
  <c r="O158" i="2"/>
  <c r="M158" i="2"/>
  <c r="Z157" i="2"/>
  <c r="Z157" i="2" a="1"/>
  <c r="S157" i="2"/>
  <c r="O157" i="2"/>
  <c r="M157" i="2"/>
  <c r="Z156" i="2"/>
  <c r="Z156" i="2" a="1"/>
  <c r="S156" i="2"/>
  <c r="O156" i="2"/>
  <c r="M156" i="2"/>
  <c r="Z155" i="2"/>
  <c r="Z155" i="2" a="1"/>
  <c r="S155" i="2"/>
  <c r="O155" i="2"/>
  <c r="M155" i="2"/>
  <c r="Z154" i="2"/>
  <c r="Z154" i="2" a="1"/>
  <c r="S154" i="2"/>
  <c r="O154" i="2"/>
  <c r="M154" i="2"/>
  <c r="Z153" i="2"/>
  <c r="Z153" i="2" a="1"/>
  <c r="S153" i="2"/>
  <c r="O153" i="2"/>
  <c r="M153" i="2"/>
  <c r="Z152" i="2"/>
  <c r="Z152" i="2" a="1"/>
  <c r="S152" i="2"/>
  <c r="O152" i="2"/>
  <c r="M152" i="2"/>
  <c r="Z151" i="2"/>
  <c r="Z151" i="2" a="1"/>
  <c r="S151" i="2"/>
  <c r="O151" i="2"/>
  <c r="M151" i="2"/>
  <c r="Z150" i="2"/>
  <c r="Z150" i="2" a="1"/>
  <c r="S150" i="2"/>
  <c r="O150" i="2"/>
  <c r="M150" i="2"/>
  <c r="Z149" i="2"/>
  <c r="Z149" i="2" a="1"/>
  <c r="S149" i="2"/>
  <c r="O149" i="2"/>
  <c r="M149" i="2"/>
  <c r="Z148" i="2"/>
  <c r="Z148" i="2" a="1"/>
  <c r="S148" i="2"/>
  <c r="O148" i="2"/>
  <c r="M148" i="2"/>
  <c r="Z147" i="2"/>
  <c r="Z147" i="2" a="1"/>
  <c r="S147" i="2"/>
  <c r="O147" i="2"/>
  <c r="M147" i="2"/>
  <c r="Z146" i="2"/>
  <c r="Z146" i="2" a="1"/>
  <c r="S146" i="2"/>
  <c r="O146" i="2"/>
  <c r="M146" i="2"/>
  <c r="Z145" i="2"/>
  <c r="Z145" i="2" a="1"/>
  <c r="S145" i="2"/>
  <c r="O145" i="2"/>
  <c r="M145" i="2"/>
  <c r="Z144" i="2"/>
  <c r="Z144" i="2" a="1"/>
  <c r="S144" i="2"/>
  <c r="O144" i="2"/>
  <c r="M144" i="2"/>
  <c r="Z143" i="2"/>
  <c r="Z143" i="2" a="1"/>
  <c r="S143" i="2"/>
  <c r="O143" i="2"/>
  <c r="M143" i="2"/>
  <c r="Z142" i="2"/>
  <c r="Z142" i="2" a="1"/>
  <c r="S142" i="2"/>
  <c r="O142" i="2"/>
  <c r="M142" i="2"/>
  <c r="Z141" i="2"/>
  <c r="Z141" i="2" a="1"/>
  <c r="S141" i="2"/>
  <c r="O141" i="2"/>
  <c r="M141" i="2"/>
  <c r="Z140" i="2"/>
  <c r="Z140" i="2" a="1"/>
  <c r="S140" i="2"/>
  <c r="O140" i="2"/>
  <c r="M140" i="2"/>
  <c r="Z139" i="2"/>
  <c r="Z139" i="2" a="1"/>
  <c r="S139" i="2"/>
  <c r="O139" i="2"/>
  <c r="M139" i="2"/>
  <c r="Z138" i="2"/>
  <c r="Z138" i="2" a="1"/>
  <c r="S138" i="2"/>
  <c r="O138" i="2"/>
  <c r="M138" i="2"/>
  <c r="Z137" i="2"/>
  <c r="Z137" i="2" a="1"/>
  <c r="S137" i="2"/>
  <c r="O137" i="2"/>
  <c r="M137" i="2"/>
  <c r="Z136" i="2"/>
  <c r="Z136" i="2" a="1"/>
  <c r="S136" i="2"/>
  <c r="O136" i="2"/>
  <c r="M136" i="2"/>
  <c r="Z135" i="2"/>
  <c r="Z135" i="2" a="1"/>
  <c r="S135" i="2"/>
  <c r="O135" i="2"/>
  <c r="M135" i="2"/>
  <c r="Z134" i="2"/>
  <c r="Z134" i="2" a="1"/>
  <c r="S134" i="2"/>
  <c r="O134" i="2"/>
  <c r="M134" i="2"/>
  <c r="Z133" i="2"/>
  <c r="Z133" i="2" a="1"/>
  <c r="S133" i="2"/>
  <c r="O133" i="2"/>
  <c r="M133" i="2"/>
  <c r="Z132" i="2"/>
  <c r="Z132" i="2" a="1"/>
  <c r="S132" i="2"/>
  <c r="O132" i="2"/>
  <c r="M132" i="2"/>
  <c r="Z131" i="2"/>
  <c r="Z131" i="2" a="1"/>
  <c r="S131" i="2"/>
  <c r="O131" i="2"/>
  <c r="M131" i="2"/>
  <c r="Z130" i="2"/>
  <c r="Z130" i="2" a="1"/>
  <c r="S130" i="2"/>
  <c r="O130" i="2"/>
  <c r="M130" i="2"/>
  <c r="Z129" i="2"/>
  <c r="Z129" i="2" a="1"/>
  <c r="S129" i="2"/>
  <c r="O129" i="2"/>
  <c r="M129" i="2"/>
  <c r="Z128" i="2"/>
  <c r="Z128" i="2" a="1"/>
  <c r="S128" i="2"/>
  <c r="O128" i="2"/>
  <c r="M128" i="2"/>
  <c r="Z127" i="2"/>
  <c r="Z127" i="2" a="1"/>
  <c r="S127" i="2"/>
  <c r="O127" i="2"/>
  <c r="M127" i="2"/>
  <c r="Z126" i="2"/>
  <c r="Z126" i="2" a="1"/>
  <c r="S126" i="2"/>
  <c r="O126" i="2"/>
  <c r="M126" i="2"/>
  <c r="Z125" i="2"/>
  <c r="Z125" i="2" a="1"/>
  <c r="S125" i="2"/>
  <c r="O125" i="2"/>
  <c r="M125" i="2"/>
  <c r="Z124" i="2"/>
  <c r="Z124" i="2" a="1"/>
  <c r="S124" i="2"/>
  <c r="O124" i="2"/>
  <c r="M124" i="2"/>
  <c r="Z123" i="2"/>
  <c r="Z123" i="2" a="1"/>
  <c r="S123" i="2"/>
  <c r="O123" i="2"/>
  <c r="M123" i="2"/>
  <c r="Z122" i="2"/>
  <c r="Z122" i="2" a="1"/>
  <c r="S122" i="2"/>
  <c r="O122" i="2"/>
  <c r="M122" i="2"/>
  <c r="Z121" i="2"/>
  <c r="Z121" i="2" a="1"/>
  <c r="S121" i="2"/>
  <c r="O121" i="2"/>
  <c r="M121" i="2"/>
  <c r="Z120" i="2"/>
  <c r="Z120" i="2" a="1"/>
  <c r="S120" i="2"/>
  <c r="O120" i="2"/>
  <c r="M120" i="2"/>
  <c r="Z119" i="2"/>
  <c r="Z119" i="2" a="1"/>
  <c r="S119" i="2"/>
  <c r="O119" i="2"/>
  <c r="M119" i="2"/>
  <c r="Z118" i="2"/>
  <c r="Z118" i="2" a="1"/>
  <c r="S118" i="2"/>
  <c r="O118" i="2"/>
  <c r="M118" i="2"/>
  <c r="Z117" i="2"/>
  <c r="Z117" i="2" a="1"/>
  <c r="S117" i="2"/>
  <c r="O117" i="2"/>
  <c r="M117" i="2"/>
  <c r="Z116" i="2"/>
  <c r="Z116" i="2" a="1"/>
  <c r="S116" i="2"/>
  <c r="O116" i="2"/>
  <c r="M116" i="2"/>
  <c r="Z115" i="2"/>
  <c r="Z115" i="2" a="1"/>
  <c r="S115" i="2"/>
  <c r="O115" i="2"/>
  <c r="M115" i="2"/>
  <c r="Z114" i="2"/>
  <c r="Z114" i="2" a="1"/>
  <c r="S114" i="2"/>
  <c r="O114" i="2"/>
  <c r="M114" i="2"/>
  <c r="Z113" i="2"/>
  <c r="Z113" i="2" a="1"/>
  <c r="S113" i="2"/>
  <c r="O113" i="2"/>
  <c r="M113" i="2"/>
  <c r="Z112" i="2"/>
  <c r="Z112" i="2" a="1"/>
  <c r="S112" i="2"/>
  <c r="O112" i="2"/>
  <c r="M112" i="2"/>
  <c r="Z111" i="2"/>
  <c r="Z111" i="2" a="1"/>
  <c r="S111" i="2"/>
  <c r="O111" i="2"/>
  <c r="M111" i="2"/>
  <c r="Z110" i="2"/>
  <c r="Z110" i="2" a="1"/>
  <c r="S110" i="2"/>
  <c r="O110" i="2"/>
  <c r="M110" i="2"/>
  <c r="Z109" i="2"/>
  <c r="Z109" i="2" a="1"/>
  <c r="S109" i="2"/>
  <c r="O109" i="2"/>
  <c r="M109" i="2"/>
  <c r="Z108" i="2"/>
  <c r="Z108" i="2" a="1"/>
  <c r="S108" i="2"/>
  <c r="O108" i="2"/>
  <c r="M108" i="2"/>
  <c r="Z107" i="2"/>
  <c r="Z107" i="2" a="1"/>
  <c r="S107" i="2"/>
  <c r="O107" i="2"/>
  <c r="M107" i="2"/>
  <c r="Z106" i="2"/>
  <c r="Z106" i="2" a="1"/>
  <c r="S106" i="2"/>
  <c r="O106" i="2"/>
  <c r="M106" i="2"/>
  <c r="Z105" i="2"/>
  <c r="Z105" i="2" a="1"/>
  <c r="S105" i="2"/>
  <c r="O105" i="2"/>
  <c r="M105" i="2"/>
  <c r="Z104" i="2"/>
  <c r="Z104" i="2" a="1"/>
  <c r="S104" i="2"/>
  <c r="O104" i="2"/>
  <c r="M104" i="2"/>
  <c r="Z103" i="2"/>
  <c r="Z103" i="2" a="1"/>
  <c r="S103" i="2"/>
  <c r="O103" i="2"/>
  <c r="M103" i="2"/>
  <c r="Z102" i="2"/>
  <c r="Z102" i="2" a="1"/>
  <c r="S102" i="2"/>
  <c r="O102" i="2"/>
  <c r="M102" i="2"/>
  <c r="Z101" i="2"/>
  <c r="Z101" i="2" a="1"/>
  <c r="S101" i="2"/>
  <c r="O101" i="2"/>
  <c r="M101" i="2"/>
  <c r="Z100" i="2"/>
  <c r="Z100" i="2" a="1"/>
  <c r="S100" i="2"/>
  <c r="O100" i="2"/>
  <c r="M100" i="2"/>
  <c r="Z99" i="2"/>
  <c r="Z99" i="2" a="1"/>
  <c r="S99" i="2"/>
  <c r="O99" i="2"/>
  <c r="M99" i="2"/>
  <c r="Z98" i="2"/>
  <c r="Z98" i="2" a="1"/>
  <c r="S98" i="2"/>
  <c r="O98" i="2"/>
  <c r="M98" i="2"/>
  <c r="Z97" i="2"/>
  <c r="Z97" i="2" a="1"/>
  <c r="S97" i="2"/>
  <c r="O97" i="2"/>
  <c r="M97" i="2"/>
  <c r="Z96" i="2"/>
  <c r="Z96" i="2" a="1"/>
  <c r="S96" i="2"/>
  <c r="O96" i="2"/>
  <c r="M96" i="2"/>
  <c r="Z95" i="2"/>
  <c r="Z95" i="2" a="1"/>
  <c r="S95" i="2"/>
  <c r="O95" i="2"/>
  <c r="M95" i="2"/>
  <c r="Z94" i="2"/>
  <c r="Z94" i="2" a="1"/>
  <c r="S94" i="2"/>
  <c r="O94" i="2"/>
  <c r="M94" i="2"/>
  <c r="Z93" i="2"/>
  <c r="Z93" i="2" a="1"/>
  <c r="S93" i="2"/>
  <c r="O93" i="2"/>
  <c r="M93" i="2"/>
  <c r="Z92" i="2"/>
  <c r="Z92" i="2" a="1"/>
  <c r="S92" i="2"/>
  <c r="O92" i="2"/>
  <c r="M92" i="2"/>
  <c r="Z91" i="2"/>
  <c r="Z91" i="2" a="1"/>
  <c r="S91" i="2"/>
  <c r="O91" i="2"/>
  <c r="M91" i="2"/>
  <c r="Z90" i="2"/>
  <c r="Z90" i="2" a="1"/>
  <c r="S90" i="2"/>
  <c r="O90" i="2"/>
  <c r="M90" i="2"/>
  <c r="Z89" i="2"/>
  <c r="Z89" i="2" a="1"/>
  <c r="S89" i="2"/>
  <c r="O89" i="2"/>
  <c r="M89" i="2"/>
  <c r="Z88" i="2"/>
  <c r="Z88" i="2" a="1"/>
  <c r="S88" i="2"/>
  <c r="O88" i="2"/>
  <c r="M88" i="2"/>
  <c r="Z87" i="2"/>
  <c r="Z87" i="2" a="1"/>
  <c r="S87" i="2"/>
  <c r="O87" i="2"/>
  <c r="M87" i="2"/>
  <c r="Z86" i="2"/>
  <c r="Z86" i="2" a="1"/>
  <c r="S86" i="2"/>
  <c r="O86" i="2"/>
  <c r="M86" i="2"/>
  <c r="Z85" i="2"/>
  <c r="Z85" i="2" a="1"/>
  <c r="S85" i="2"/>
  <c r="O85" i="2"/>
  <c r="M85" i="2"/>
  <c r="Z84" i="2"/>
  <c r="Z84" i="2" a="1"/>
  <c r="S84" i="2"/>
  <c r="O84" i="2"/>
  <c r="M84" i="2"/>
  <c r="Z83" i="2"/>
  <c r="Z83" i="2" a="1"/>
  <c r="S83" i="2"/>
  <c r="O83" i="2"/>
  <c r="M83" i="2"/>
  <c r="Z82" i="2"/>
  <c r="Z82" i="2" a="1"/>
  <c r="S82" i="2"/>
  <c r="O82" i="2"/>
  <c r="M82" i="2"/>
  <c r="Z81" i="2"/>
  <c r="Z81" i="2" a="1"/>
  <c r="S81" i="2"/>
  <c r="O81" i="2"/>
  <c r="M81" i="2"/>
  <c r="Z80" i="2"/>
  <c r="Z80" i="2" a="1"/>
  <c r="S80" i="2"/>
  <c r="O80" i="2"/>
  <c r="M80" i="2"/>
  <c r="Z79" i="2"/>
  <c r="Z79" i="2" a="1"/>
  <c r="S79" i="2"/>
  <c r="O79" i="2"/>
  <c r="M79" i="2"/>
  <c r="Z78" i="2"/>
  <c r="Z78" i="2" a="1"/>
  <c r="S78" i="2"/>
  <c r="O78" i="2"/>
  <c r="M78" i="2"/>
  <c r="Z77" i="2"/>
  <c r="Z77" i="2" a="1"/>
  <c r="S77" i="2"/>
  <c r="O77" i="2"/>
  <c r="M77" i="2"/>
  <c r="Z76" i="2"/>
  <c r="Z76" i="2" a="1"/>
  <c r="S76" i="2"/>
  <c r="O76" i="2"/>
  <c r="M76" i="2"/>
  <c r="Z75" i="2"/>
  <c r="Z75" i="2" a="1"/>
  <c r="S75" i="2"/>
  <c r="O75" i="2"/>
  <c r="M75" i="2"/>
  <c r="Z74" i="2"/>
  <c r="Z74" i="2" a="1"/>
  <c r="S74" i="2"/>
  <c r="O74" i="2"/>
  <c r="M74" i="2"/>
  <c r="Z73" i="2"/>
  <c r="Z73" i="2" a="1"/>
  <c r="S73" i="2"/>
  <c r="O73" i="2"/>
  <c r="M73" i="2"/>
  <c r="Z72" i="2"/>
  <c r="Z72" i="2" a="1"/>
  <c r="S72" i="2"/>
  <c r="O72" i="2"/>
  <c r="M72" i="2"/>
  <c r="Z71" i="2"/>
  <c r="Z71" i="2" a="1"/>
  <c r="S71" i="2"/>
  <c r="O71" i="2"/>
  <c r="M71" i="2"/>
  <c r="Z70" i="2"/>
  <c r="Z70" i="2" a="1"/>
  <c r="S70" i="2"/>
  <c r="O70" i="2"/>
  <c r="M70" i="2"/>
  <c r="Z69" i="2"/>
  <c r="Z69" i="2" a="1"/>
  <c r="S69" i="2"/>
  <c r="O69" i="2"/>
  <c r="M69" i="2"/>
  <c r="Z68" i="2"/>
  <c r="Z68" i="2" a="1"/>
  <c r="S68" i="2"/>
  <c r="O68" i="2"/>
  <c r="M68" i="2"/>
  <c r="Z67" i="2"/>
  <c r="Z67" i="2" a="1"/>
  <c r="S67" i="2"/>
  <c r="O67" i="2"/>
  <c r="M67" i="2"/>
  <c r="Z66" i="2"/>
  <c r="Z66" i="2" a="1"/>
  <c r="S66" i="2"/>
  <c r="O66" i="2"/>
  <c r="M66" i="2"/>
  <c r="Z65" i="2"/>
  <c r="Z65" i="2" a="1"/>
  <c r="S65" i="2"/>
  <c r="O65" i="2"/>
  <c r="M65" i="2"/>
  <c r="Z64" i="2"/>
  <c r="Z64" i="2" a="1"/>
  <c r="S64" i="2"/>
  <c r="O64" i="2"/>
  <c r="M64" i="2"/>
  <c r="Z63" i="2"/>
  <c r="Z63" i="2" a="1"/>
  <c r="S63" i="2"/>
  <c r="O63" i="2"/>
  <c r="M63" i="2"/>
  <c r="Z62" i="2"/>
  <c r="Z62" i="2" a="1"/>
  <c r="S62" i="2"/>
  <c r="O62" i="2"/>
  <c r="M62" i="2"/>
  <c r="Z61" i="2"/>
  <c r="Z61" i="2" a="1"/>
  <c r="S61" i="2"/>
  <c r="O61" i="2"/>
  <c r="M61" i="2"/>
  <c r="Z60" i="2"/>
  <c r="Z60" i="2" a="1"/>
  <c r="S60" i="2"/>
  <c r="O60" i="2"/>
  <c r="M60" i="2"/>
  <c r="Z59" i="2"/>
  <c r="Z59" i="2" a="1"/>
  <c r="S59" i="2"/>
  <c r="O59" i="2"/>
  <c r="M59" i="2"/>
  <c r="Z58" i="2"/>
  <c r="Z58" i="2" a="1"/>
  <c r="S58" i="2"/>
  <c r="O58" i="2"/>
  <c r="M58" i="2"/>
  <c r="Z57" i="2"/>
  <c r="Z57" i="2" a="1"/>
  <c r="S57" i="2"/>
  <c r="O57" i="2"/>
  <c r="M57" i="2"/>
  <c r="Z56" i="2"/>
  <c r="Z56" i="2" a="1"/>
  <c r="S56" i="2"/>
  <c r="O56" i="2"/>
  <c r="M56" i="2"/>
  <c r="Z55" i="2"/>
  <c r="Z55" i="2" a="1"/>
  <c r="S55" i="2"/>
  <c r="O55" i="2"/>
  <c r="M55" i="2"/>
  <c r="Z54" i="2"/>
  <c r="Z54" i="2" a="1"/>
  <c r="S54" i="2"/>
  <c r="O54" i="2"/>
  <c r="M54" i="2"/>
  <c r="Z53" i="2"/>
  <c r="Z53" i="2" a="1"/>
  <c r="S53" i="2"/>
  <c r="O53" i="2"/>
  <c r="M53" i="2"/>
  <c r="Z52" i="2"/>
  <c r="Z52" i="2" a="1"/>
  <c r="S52" i="2"/>
  <c r="O52" i="2"/>
  <c r="M52" i="2"/>
  <c r="Z51" i="2"/>
  <c r="Z51" i="2" a="1"/>
  <c r="S51" i="2"/>
  <c r="O51" i="2"/>
  <c r="M51" i="2"/>
  <c r="Z50" i="2"/>
  <c r="Z50" i="2" a="1"/>
  <c r="S50" i="2"/>
  <c r="O50" i="2"/>
  <c r="M50" i="2"/>
  <c r="Z49" i="2"/>
  <c r="Z49" i="2" a="1"/>
  <c r="S49" i="2"/>
  <c r="O49" i="2"/>
  <c r="M49" i="2"/>
  <c r="Z48" i="2"/>
  <c r="Z48" i="2" a="1"/>
  <c r="S48" i="2"/>
  <c r="O48" i="2"/>
  <c r="M48" i="2"/>
  <c r="Z47" i="2"/>
  <c r="Z47" i="2" a="1"/>
  <c r="S47" i="2"/>
  <c r="O47" i="2"/>
  <c r="M47" i="2"/>
  <c r="Z46" i="2"/>
  <c r="Z46" i="2" a="1"/>
  <c r="S46" i="2"/>
  <c r="O46" i="2"/>
  <c r="M46" i="2"/>
  <c r="Z45" i="2"/>
  <c r="Z45" i="2" a="1"/>
  <c r="S45" i="2"/>
  <c r="O45" i="2"/>
  <c r="M45" i="2"/>
  <c r="Z44" i="2"/>
  <c r="Z44" i="2" a="1"/>
  <c r="S44" i="2"/>
  <c r="O44" i="2"/>
  <c r="M44" i="2"/>
  <c r="Z43" i="2"/>
  <c r="Z43" i="2" a="1"/>
  <c r="S43" i="2"/>
  <c r="O43" i="2"/>
  <c r="M43" i="2"/>
  <c r="Z42" i="2"/>
  <c r="Z42" i="2" a="1"/>
  <c r="S42" i="2"/>
  <c r="O42" i="2"/>
  <c r="M42" i="2"/>
  <c r="Z41" i="2"/>
  <c r="Z41" i="2" a="1"/>
  <c r="S41" i="2"/>
  <c r="O41" i="2"/>
  <c r="M41" i="2"/>
  <c r="Z40" i="2"/>
  <c r="Z40" i="2" a="1"/>
  <c r="S40" i="2"/>
  <c r="O40" i="2"/>
  <c r="M40" i="2"/>
  <c r="Z39" i="2"/>
  <c r="Z39" i="2" a="1"/>
  <c r="S39" i="2"/>
  <c r="O39" i="2"/>
  <c r="M39" i="2"/>
  <c r="Z38" i="2"/>
  <c r="Z38" i="2" a="1"/>
  <c r="S38" i="2"/>
  <c r="O38" i="2"/>
  <c r="M38" i="2"/>
  <c r="Z37" i="2"/>
  <c r="Z37" i="2" a="1"/>
  <c r="S37" i="2"/>
  <c r="O37" i="2"/>
  <c r="M37" i="2"/>
  <c r="Z36" i="2"/>
  <c r="Z36" i="2" a="1"/>
  <c r="S36" i="2"/>
  <c r="O36" i="2"/>
  <c r="M36" i="2"/>
  <c r="Z35" i="2"/>
  <c r="Z35" i="2" a="1"/>
  <c r="S35" i="2"/>
  <c r="O35" i="2"/>
  <c r="M35" i="2"/>
  <c r="Z34" i="2"/>
  <c r="Z34" i="2" a="1"/>
  <c r="S34" i="2"/>
  <c r="O34" i="2"/>
  <c r="M34" i="2"/>
  <c r="Z33" i="2"/>
  <c r="Z33" i="2" a="1"/>
  <c r="S33" i="2"/>
  <c r="O33" i="2"/>
  <c r="M33" i="2"/>
  <c r="Z32" i="2"/>
  <c r="Z32" i="2" a="1"/>
  <c r="S32" i="2"/>
  <c r="O32" i="2"/>
  <c r="M32" i="2"/>
  <c r="Z31" i="2"/>
  <c r="Z31" i="2" a="1"/>
  <c r="S31" i="2"/>
  <c r="O31" i="2"/>
  <c r="M31" i="2"/>
  <c r="Z30" i="2"/>
  <c r="Z30" i="2" a="1"/>
  <c r="S30" i="2"/>
  <c r="O30" i="2"/>
  <c r="M30" i="2"/>
  <c r="Z29" i="2"/>
  <c r="Z29" i="2" a="1"/>
  <c r="S29" i="2"/>
  <c r="O29" i="2"/>
  <c r="M29" i="2"/>
  <c r="Z28" i="2"/>
  <c r="Z28" i="2" a="1"/>
  <c r="S28" i="2"/>
  <c r="O28" i="2"/>
  <c r="M28" i="2"/>
  <c r="Z27" i="2"/>
  <c r="Z27" i="2" a="1"/>
  <c r="S27" i="2"/>
  <c r="O27" i="2"/>
  <c r="M27" i="2"/>
  <c r="Z26" i="2"/>
  <c r="Z26" i="2" a="1"/>
  <c r="S26" i="2"/>
  <c r="O26" i="2"/>
  <c r="M26" i="2"/>
  <c r="Z25" i="2"/>
  <c r="Z25" i="2" a="1"/>
  <c r="S25" i="2"/>
  <c r="O25" i="2"/>
  <c r="M25" i="2"/>
  <c r="Z24" i="2"/>
  <c r="Z24" i="2" a="1"/>
  <c r="S24" i="2"/>
  <c r="O24" i="2"/>
  <c r="M24" i="2"/>
  <c r="Z23" i="2"/>
  <c r="Z23" i="2" a="1"/>
  <c r="S23" i="2"/>
  <c r="O23" i="2"/>
  <c r="M23" i="2"/>
  <c r="Z22" i="2"/>
  <c r="Z22" i="2" a="1"/>
  <c r="S22" i="2"/>
  <c r="O22" i="2"/>
  <c r="M22" i="2"/>
  <c r="Z21" i="2"/>
  <c r="Z21" i="2" a="1"/>
  <c r="S21" i="2"/>
  <c r="O21" i="2"/>
  <c r="M21" i="2"/>
  <c r="Z20" i="2"/>
  <c r="Z20" i="2" a="1"/>
  <c r="S20" i="2"/>
  <c r="O20" i="2"/>
  <c r="M20" i="2"/>
  <c r="Z19" i="2"/>
  <c r="Z19" i="2" a="1"/>
  <c r="S19" i="2"/>
  <c r="O19" i="2"/>
  <c r="M19" i="2"/>
  <c r="Z18" i="2"/>
  <c r="Z18" i="2" a="1"/>
  <c r="S18" i="2"/>
  <c r="O18" i="2"/>
  <c r="M18" i="2"/>
  <c r="Z17" i="2"/>
  <c r="Z17" i="2" a="1"/>
  <c r="S17" i="2"/>
  <c r="O17" i="2"/>
  <c r="M17" i="2"/>
  <c r="Z16" i="2"/>
  <c r="Z16" i="2" a="1"/>
  <c r="S16" i="2"/>
  <c r="O16" i="2"/>
  <c r="M16" i="2"/>
  <c r="Z15" i="2"/>
  <c r="Z15" i="2" a="1"/>
  <c r="S15" i="2"/>
  <c r="O15" i="2"/>
  <c r="M15" i="2"/>
  <c r="Z14" i="2"/>
  <c r="Z14" i="2" a="1"/>
  <c r="S14" i="2"/>
  <c r="O14" i="2"/>
  <c r="M14" i="2"/>
  <c r="Z13" i="2"/>
  <c r="Z13" i="2" a="1"/>
  <c r="S13" i="2"/>
  <c r="O13" i="2"/>
  <c r="M13" i="2"/>
  <c r="Z12" i="2"/>
  <c r="Z12" i="2" a="1"/>
  <c r="S12" i="2"/>
  <c r="O12" i="2"/>
  <c r="M12" i="2"/>
  <c r="Z11" i="2"/>
  <c r="Z11" i="2" a="1"/>
  <c r="S11" i="2"/>
  <c r="O11" i="2"/>
  <c r="M11" i="2"/>
  <c r="Z10" i="2"/>
  <c r="Z10" i="2" a="1"/>
  <c r="S10" i="2"/>
  <c r="O10" i="2"/>
  <c r="M10" i="2"/>
  <c r="Z9" i="2"/>
  <c r="Z9" i="2" a="1"/>
  <c r="S9" i="2"/>
  <c r="O9" i="2"/>
  <c r="M9" i="2"/>
  <c r="Z8" i="2"/>
  <c r="Z8" i="2" a="1"/>
  <c r="S8" i="2"/>
  <c r="O8" i="2"/>
  <c r="M8" i="2"/>
  <c r="Z7" i="2"/>
  <c r="Z7" i="2" a="1"/>
  <c r="S7" i="2"/>
  <c r="O7" i="2"/>
  <c r="M7" i="2"/>
  <c r="Z6" i="2"/>
  <c r="Z6" i="2" a="1"/>
  <c r="S6" i="2"/>
  <c r="O6" i="2"/>
  <c r="M6" i="2"/>
  <c r="Z5" i="2"/>
  <c r="Z5" i="2" a="1"/>
  <c r="S5" i="2"/>
  <c r="O5" i="2"/>
  <c r="M5" i="2"/>
  <c r="Z4" i="2"/>
  <c r="Z4" i="2" a="1"/>
  <c r="S4" i="2"/>
  <c r="O4" i="2"/>
  <c r="M4" i="2"/>
  <c r="Z3" i="2"/>
  <c r="Z3" i="2" a="1"/>
  <c r="S3" i="2"/>
  <c r="O3" i="2"/>
  <c r="M3" i="2"/>
  <c r="Z2" i="2"/>
  <c r="Z2" i="2" a="1"/>
  <c r="S2" i="2"/>
  <c r="O2" i="2"/>
  <c r="M2" i="2"/>
  <c r="A16" i="7"/>
  <c r="B13" i="7"/>
  <c r="B4" i="7"/>
  <c r="B9" i="7"/>
  <c r="B16" i="7"/>
</calcChain>
</file>

<file path=xl/sharedStrings.xml><?xml version="1.0" encoding="utf-8"?>
<sst xmlns="http://schemas.openxmlformats.org/spreadsheetml/2006/main" count="7126" uniqueCount="1146">
  <si>
    <t>order_no</t>
  </si>
  <si>
    <t>order_date</t>
  </si>
  <si>
    <t>buyer</t>
  </si>
  <si>
    <t>ship_city</t>
  </si>
  <si>
    <t>ship_state</t>
  </si>
  <si>
    <t>sku</t>
  </si>
  <si>
    <t>description</t>
  </si>
  <si>
    <t>quantity</t>
  </si>
  <si>
    <t>item_total</t>
  </si>
  <si>
    <t>shipping_fee</t>
  </si>
  <si>
    <t>order_status</t>
  </si>
  <si>
    <t>cod</t>
  </si>
  <si>
    <t>405-9763961-5211537</t>
  </si>
  <si>
    <t>Sun, 18 Jul, 2021, 10:38 pm IST</t>
  </si>
  <si>
    <t>Mr.</t>
  </si>
  <si>
    <t>CHANDIGARH,</t>
  </si>
  <si>
    <t>CHANDIGARH</t>
  </si>
  <si>
    <t>SKU:  2X-3C0F-KNJE</t>
  </si>
  <si>
    <t>100% Leather Elephant Shaped Piggy Coin Bank | Block Printed West Bengal Handicrafts (Shantiniketan Art) | Money Bank for Kids | Children's Gift Ideas</t>
  </si>
  <si>
    <t>1</t>
  </si>
  <si>
    <t>₹449.00</t>
  </si>
  <si>
    <t/>
  </si>
  <si>
    <t>Delivered to buyer</t>
  </si>
  <si>
    <t>404-3964908-7850720</t>
  </si>
  <si>
    <t>Tue, 19 Oct, 2021, 6:05 pm IST</t>
  </si>
  <si>
    <t>Minam</t>
  </si>
  <si>
    <t>PASIGHAT,</t>
  </si>
  <si>
    <t>ARUNACHAL PRADESH</t>
  </si>
  <si>
    <t>SKU:  DN-0WDX-VYOT</t>
  </si>
  <si>
    <t>Women's Set of 5 Multicolor Pure Leather Single Lipstick Cases with Mirror, Handy and Compact Handcrafted Shantiniketan Block Printed Jewelry Boxes</t>
  </si>
  <si>
    <t>₹60.18</t>
  </si>
  <si>
    <t>171-8103182-4289117</t>
  </si>
  <si>
    <t>Sun, 28 Nov, 2021, 10:20 pm IST</t>
  </si>
  <si>
    <t>405-3171677-9557154</t>
  </si>
  <si>
    <t>Wed, 28 Jul, 2021, 4:06 am IST</t>
  </si>
  <si>
    <t>aciya</t>
  </si>
  <si>
    <t>DEVARAKONDA,</t>
  </si>
  <si>
    <t>TELANGANA</t>
  </si>
  <si>
    <t>SKU:  AH-J3AO-R7DN</t>
  </si>
  <si>
    <t>Pure 100% Leather Block Print Rectangular Jewelry Box with Mirror | Button Closure Multiple Utility Case (Shantiniketan Handicrafts) (Yellow)</t>
  </si>
  <si>
    <t>Cash On Delivery</t>
  </si>
  <si>
    <t>402-8910771-1215552</t>
  </si>
  <si>
    <t>Tue, 28 Sept, 2021, 2:50 pm IST</t>
  </si>
  <si>
    <t>Susmita</t>
  </si>
  <si>
    <t>MUMBAI,</t>
  </si>
  <si>
    <t>MAHARASHTRA</t>
  </si>
  <si>
    <t>SKU:  KL-7WAA-Z82I</t>
  </si>
  <si>
    <t>Pure Leather Sling Bag with Multiple Pockets and Adjustable Strap | Shantiniketan Block Print Cross-Body Bags for Women (1 pc) (Brown)</t>
  </si>
  <si>
    <t>₹1,099.00</t>
  </si>
  <si>
    <t>₹84.96</t>
  </si>
  <si>
    <t>406-9292208-6725123</t>
  </si>
  <si>
    <t>Thu, 17 Jun, 2021, 9:12 pm IST</t>
  </si>
  <si>
    <t>Subinita</t>
  </si>
  <si>
    <t>HOWRAH,</t>
  </si>
  <si>
    <t>WEST BENGAL</t>
  </si>
  <si>
    <t>SKU:  HH-FOWV-5YWO</t>
  </si>
  <si>
    <t>Women's Trendy Pure Leather Clutch Purse | Leather Zipper Wallet</t>
  </si>
  <si>
    <t>₹200.00</t>
  </si>
  <si>
    <t>404-5794317-7737924</t>
  </si>
  <si>
    <t>Thu, 12 Aug, 2021, 8:03 pm IST</t>
  </si>
  <si>
    <t>shailendra</t>
  </si>
  <si>
    <t>ORAI,</t>
  </si>
  <si>
    <t>UTTAR PRADESH</t>
  </si>
  <si>
    <t>SKU:  TQ-OE6K-9DIK</t>
  </si>
  <si>
    <t>Ultra Slim 100% Pure Leather Men's Wallet with Cash, Card and Coin Compartments | Jet Black Gent's Money Organizer with Cover (1 pc)</t>
  </si>
  <si>
    <t>Returned to seller</t>
  </si>
  <si>
    <t>405-8702211-4054722</t>
  </si>
  <si>
    <t>Wed, 29 Sept, 2021, 2:55 pm IST</t>
  </si>
  <si>
    <t>Pratima</t>
  </si>
  <si>
    <t>BAREILLY,</t>
  </si>
  <si>
    <t>SKU:  S1-A92Q-JU3X</t>
  </si>
  <si>
    <t>100% Pure Leather Shantiniketan Clutch Purse: Traditional Block Print Bi-color Women's Wallets with Multiple Pockets and Zipper Compartments (1 pc) (G</t>
  </si>
  <si>
    <t>₹399.00</t>
  </si>
  <si>
    <t>171-1434812-8061163</t>
  </si>
  <si>
    <t>Sat, 13 Nov, 2021, 7:37 pm IST</t>
  </si>
  <si>
    <t>Ipshita</t>
  </si>
  <si>
    <t>BENGALURU,</t>
  </si>
  <si>
    <t>KARNATAKA</t>
  </si>
  <si>
    <t>SKU:  3F-4R9N-Z8NJ</t>
  </si>
  <si>
    <t>Set of 2 Pure Leather Block Print Round Jewelry Boxes | Button Closure Multiple Utility Case (Shantiniketan Handicrafts) (Yellow)</t>
  </si>
  <si>
    <t>171-7954707-4463549</t>
  </si>
  <si>
    <t>Mon, 9 Aug, 2021, 4:47 pm IST</t>
  </si>
  <si>
    <t>A.Jayaprada</t>
  </si>
  <si>
    <t>Bhilai,</t>
  </si>
  <si>
    <t>CHHATTISGARH</t>
  </si>
  <si>
    <t>SKU:  NU-CKZ5-4O49</t>
  </si>
  <si>
    <t>Pure Leather Sling Bag with Multiple Pockets and Adjustable Strap | Shantiniketan Block Print Cross-Body Bags for Women (1 pc) (Yellow)</t>
  </si>
  <si>
    <t>403-3146183-4920328</t>
  </si>
  <si>
    <t>Sat, 4 Sept, 2021, 11:53 am IST</t>
  </si>
  <si>
    <t>Sumeet</t>
  </si>
  <si>
    <t>FARIDABAD,</t>
  </si>
  <si>
    <t>HARYANA</t>
  </si>
  <si>
    <t>₹114.46</t>
  </si>
  <si>
    <t>404-4406917-9569950</t>
  </si>
  <si>
    <t>Tue, 16 Nov, 2021, 7:43 am IST</t>
  </si>
  <si>
    <t>Rolipar</t>
  </si>
  <si>
    <t>AGARTALA,</t>
  </si>
  <si>
    <t>TRIPURA</t>
  </si>
  <si>
    <t>402-5321389-8685152</t>
  </si>
  <si>
    <t>Sat, 16 Oct, 2021, 10:11 am IST</t>
  </si>
  <si>
    <t>Blessan</t>
  </si>
  <si>
    <t>COONOOR,</t>
  </si>
  <si>
    <t>TAMIL NADU</t>
  </si>
  <si>
    <t>SKU:  94-TSV3-EIW6</t>
  </si>
  <si>
    <t>Bright and Colorful Shantiniketan Leather Elephant Piggy Coin Bank for Kids/Adults | Light-Weight Handcrafted Elephant Shaped Money Bank (Green, Large</t>
  </si>
  <si>
    <t>403-4385783-1379508</t>
  </si>
  <si>
    <t>Mon, 4 Oct, 2021, 10:05 am IST</t>
  </si>
  <si>
    <t>Aditi</t>
  </si>
  <si>
    <t>PUNE,</t>
  </si>
  <si>
    <t>SKU:  FL-4CMG-CU48</t>
  </si>
  <si>
    <t>Pure Leather Sling Bag with Multiple Pockets and Adjustable Strap | Shantiniketan Block Print Cross-Body Bags for Women (1 pc) (Black)</t>
  </si>
  <si>
    <t>408-9557300-6760347</t>
  </si>
  <si>
    <t>Thu, 14 Oct, 2021, 11:14 pm IST</t>
  </si>
  <si>
    <t>Satish</t>
  </si>
  <si>
    <t>MANTHA,</t>
  </si>
  <si>
    <t>SKU:  YJ-5CCT-M3PP</t>
  </si>
  <si>
    <t>Pure Leather Camel Color Gent's Wallet with Coin Compartment and Card Holders | Men's Ultra Slim Money Organiser (1 pc)</t>
  </si>
  <si>
    <t>402-4179660-9937142</t>
  </si>
  <si>
    <t>Sun, 5 Sept, 2021, 9:10 am IST</t>
  </si>
  <si>
    <t>K</t>
  </si>
  <si>
    <t>KOLKATA,</t>
  </si>
  <si>
    <t>₹62.54</t>
  </si>
  <si>
    <t>405-6918787-5602743</t>
  </si>
  <si>
    <t>Wed, 25 Aug, 2021, 7:48 am IST</t>
  </si>
  <si>
    <t>Mosin</t>
  </si>
  <si>
    <t>MAHALINGPUR,</t>
  </si>
  <si>
    <t>₹649.00</t>
  </si>
  <si>
    <t>₹81.42</t>
  </si>
  <si>
    <t>406-1403658-9371527</t>
  </si>
  <si>
    <t>Sat, 27 Nov, 2021, 12:46 pm IST</t>
  </si>
  <si>
    <t>shilpin</t>
  </si>
  <si>
    <t>SKU:  PG-WS6J-89DG</t>
  </si>
  <si>
    <t>Bright and Colorful Shantiniketan Leather Elephant Piggy Coin Bank for Kids/Adults | Light-Weight Handcrafted Elephant Shaped Money Bank (Blue, Large)</t>
  </si>
  <si>
    <t>407-2082022-4357107</t>
  </si>
  <si>
    <t>Sun, 21 Nov, 2021, 1:08 pm IST</t>
  </si>
  <si>
    <t>prithi</t>
  </si>
  <si>
    <t>HYDERABAD,</t>
  </si>
  <si>
    <t>SKU:  O9-OVS7-G9XK</t>
  </si>
  <si>
    <t>Set of 2 Pure Leather Block Print Round Jewelry Boxes | Button Closure Multiple Utility Case (Shantiniketan Handicrafts) (Black)</t>
  </si>
  <si>
    <t>402-8678022-3083562</t>
  </si>
  <si>
    <t>Fri, 1 Oct, 2021, 11:34 pm IST</t>
  </si>
  <si>
    <t>Heena</t>
  </si>
  <si>
    <t>402-1146202-1933154</t>
  </si>
  <si>
    <t>Fri, 10 Sept, 2021, 8:36 pm IST</t>
  </si>
  <si>
    <t>Hemal</t>
  </si>
  <si>
    <t>MUMBAI 400 026,</t>
  </si>
  <si>
    <t>SKU:  AY-Z7BT-BMVM</t>
  </si>
  <si>
    <t>Women's Pure Leather Jhallar Clutch Purse with Zipper Compartments | Floral Block Print Ladies Wallet (Red, 1 pc)</t>
  </si>
  <si>
    <t>402-6406639-0884351</t>
  </si>
  <si>
    <t>Wed, 10 Nov, 2021, 9:07 am IST</t>
  </si>
  <si>
    <t>Neha</t>
  </si>
  <si>
    <t>CUTTACK,</t>
  </si>
  <si>
    <t>ODISHA</t>
  </si>
  <si>
    <t>171-6105173-4790734</t>
  </si>
  <si>
    <t>Fri, 26 Nov, 2021, 7:22 pm IST</t>
  </si>
  <si>
    <t>Geetika</t>
  </si>
  <si>
    <t>GURUGRAM,</t>
  </si>
  <si>
    <t>406-9975868-3000368</t>
  </si>
  <si>
    <t>Wed, 20 Oct, 2021, 10:15 pm IST</t>
  </si>
  <si>
    <t>Hema</t>
  </si>
  <si>
    <t>403-7876698-8356365</t>
  </si>
  <si>
    <t>Fri, 25 Jun, 2021, 7:48 am IST</t>
  </si>
  <si>
    <t>Yash</t>
  </si>
  <si>
    <t>SKU:  3O-GBSM-TYZE</t>
  </si>
  <si>
    <t>100% Leather Ganesh Ji Piggy Coin Bank | Block Printed West Bengal Handicrafts (Shantiniketan Art) | Money Bank for Kids | Children's Gift Ideas (Red,</t>
  </si>
  <si>
    <t>402-2054361-4513137</t>
  </si>
  <si>
    <t>Mon, 6 Sept, 2021, 12:46 pm IST</t>
  </si>
  <si>
    <t>Ramesh</t>
  </si>
  <si>
    <t>JALESWAR,</t>
  </si>
  <si>
    <t>405-0695973-7365161</t>
  </si>
  <si>
    <t>Thu, 22 Jul, 2021, 9:32 am IST</t>
  </si>
  <si>
    <t>Sailaja</t>
  </si>
  <si>
    <t>VISAKHAPATNAM,</t>
  </si>
  <si>
    <t>ANDHRA PRADESH</t>
  </si>
  <si>
    <t>₹250.00</t>
  </si>
  <si>
    <t>404-9680499-3084319</t>
  </si>
  <si>
    <t>Fri, 29 Oct, 2021, 6:58 am IST</t>
  </si>
  <si>
    <t>Manisha</t>
  </si>
  <si>
    <t>PUNEpune,</t>
  </si>
  <si>
    <t>406-3518585-4093925</t>
  </si>
  <si>
    <t>Mon, 20 Sept, 2021, 6:41 pm IST</t>
  </si>
  <si>
    <t>m</t>
  </si>
  <si>
    <t>NEW DELHI,</t>
  </si>
  <si>
    <t>DELHI</t>
  </si>
  <si>
    <t>SKU:  0M-RFE6-443C</t>
  </si>
  <si>
    <t>Set of 2 Pure Leather Block Print Round Jewelry Boxes | Button Closure Multiple Utility Case (Shantiniketan Handicrafts) (Green)</t>
  </si>
  <si>
    <t>404-6883107-8347508</t>
  </si>
  <si>
    <t>Wed, 4 Aug, 2021, 8:16 pm IST</t>
  </si>
  <si>
    <t>chirag</t>
  </si>
  <si>
    <t>RAIA,</t>
  </si>
  <si>
    <t>GOA</t>
  </si>
  <si>
    <t>404-8244254-9274747</t>
  </si>
  <si>
    <t>Mon, 11 Oct, 2021, 9:30 am IST</t>
  </si>
  <si>
    <t>Subhendu</t>
  </si>
  <si>
    <t>Bhubaneswar,</t>
  </si>
  <si>
    <t>Odisha</t>
  </si>
  <si>
    <t>407-2330390-9441923</t>
  </si>
  <si>
    <t>Sat, 16 Oct, 2021, 9:51 am IST</t>
  </si>
  <si>
    <t>Harsimranjit</t>
  </si>
  <si>
    <t>JAGDALPUR,</t>
  </si>
  <si>
    <t>SKU:  TY-4GPW-U54J</t>
  </si>
  <si>
    <t>Set of 2 Pure Leather Block Print Round Jewelry Boxes | Button Closure Multiple Utility Case (Shantiniketan Handicrafts) (Red)</t>
  </si>
  <si>
    <t>407-0864859-8033111</t>
  </si>
  <si>
    <t>Fri, 29 Oct, 2021, 2:19 pm IST</t>
  </si>
  <si>
    <t>Deepshikha</t>
  </si>
  <si>
    <t>402-0249599-9225933</t>
  </si>
  <si>
    <t>Sat, 18 Sept, 2021, 8:06 am IST</t>
  </si>
  <si>
    <t>Elizabeth</t>
  </si>
  <si>
    <t>403-0713090-0169940</t>
  </si>
  <si>
    <t>Thu, 28 Oct, 2021, 3:54 pm IST</t>
  </si>
  <si>
    <t>sayani</t>
  </si>
  <si>
    <t>SKU:  9S-GE8P-RIR4</t>
  </si>
  <si>
    <t>Pure 100% Leather Block Print Rectangular Jewelry Box with Mirror | Button Closure Multiple Utility Case (Shantiniketan Handicrafts) (Brown)</t>
  </si>
  <si>
    <t>₹47.20</t>
  </si>
  <si>
    <t>403-7215480-9090745</t>
  </si>
  <si>
    <t>Tue, 7 Sept, 2021, 7:11 am IST</t>
  </si>
  <si>
    <t>Madan</t>
  </si>
  <si>
    <t>403-7217325-7956317</t>
  </si>
  <si>
    <t>Thu, 2 Sept, 2021, 2:35 pm IST</t>
  </si>
  <si>
    <t>maha</t>
  </si>
  <si>
    <t>SALEM,</t>
  </si>
  <si>
    <t>405-8876256-0913907</t>
  </si>
  <si>
    <t>Sat, 18 Sept, 2021, 5:03 pm IST</t>
  </si>
  <si>
    <t>Shreyasi</t>
  </si>
  <si>
    <t>SKU:  CR-6E69-UXFW</t>
  </si>
  <si>
    <t>Bright and Colorful Shantiniketan Leather Elephant Piggy Coin Bank for Kids/Adults | Light-Weight Handcrafted Elephant Shaped Money Bank (Black, Large</t>
  </si>
  <si>
    <t>407-0539421-4069143</t>
  </si>
  <si>
    <t>Mon, 1 Nov, 2021, 11:33 am IST</t>
  </si>
  <si>
    <t>Parmeet</t>
  </si>
  <si>
    <t>JAMMU,</t>
  </si>
  <si>
    <t>JAMMU &amp; KASHMIR</t>
  </si>
  <si>
    <t>404-8031085-1381943</t>
  </si>
  <si>
    <t>Fri, 26 Nov, 2021, 9:12 pm IST</t>
  </si>
  <si>
    <t>Kangana</t>
  </si>
  <si>
    <t>SKU:  54-D265-B74K</t>
  </si>
  <si>
    <t>Set of 2 Pure Leather Block Print Round Jewelry Boxes | Button Closure Multiple Utility Case (Shantiniketan Handicrafts) (Brown)</t>
  </si>
  <si>
    <t>4</t>
  </si>
  <si>
    <t>407-6856738-1928342</t>
  </si>
  <si>
    <t>Mon, 6 Sept, 2021, 3:15 pm IST</t>
  </si>
  <si>
    <t>Nina</t>
  </si>
  <si>
    <t>SKU:  D4-UD68-TMXH</t>
  </si>
  <si>
    <t>Set of 3 Multiple Utility Leather Boxes | Bright Polka Dot Jewelry Cases in Different Size (Shantiniketan Handcrafted Gifts) (Yellow)</t>
  </si>
  <si>
    <t>₹549.00</t>
  </si>
  <si>
    <t>405-4776641-5401922</t>
  </si>
  <si>
    <t>Fri, 1 Oct, 2021, 2:18 pm IST</t>
  </si>
  <si>
    <t>Rathish</t>
  </si>
  <si>
    <t>AHMEDABAD,</t>
  </si>
  <si>
    <t>GUJARAT</t>
  </si>
  <si>
    <t>407-7181943-1725128</t>
  </si>
  <si>
    <t>Mon, 4 Oct, 2021, 1:10 am IST</t>
  </si>
  <si>
    <t>Rohan</t>
  </si>
  <si>
    <t>405-8481932-1229966</t>
  </si>
  <si>
    <t>Sun, 31 Oct, 2021, 11:38 am IST</t>
  </si>
  <si>
    <t>Amala</t>
  </si>
  <si>
    <t>404-9914447-5578722</t>
  </si>
  <si>
    <t>Fri, 6 Aug, 2021, 9:16 am IST</t>
  </si>
  <si>
    <t>Dipali</t>
  </si>
  <si>
    <t>Mumbai,</t>
  </si>
  <si>
    <t>404-6735919-2773947</t>
  </si>
  <si>
    <t>Sun, 31 Oct, 2021, 11:28 pm IST</t>
  </si>
  <si>
    <t>swagata13051978</t>
  </si>
  <si>
    <t>SILCHAR,</t>
  </si>
  <si>
    <t>ASSAM</t>
  </si>
  <si>
    <t>407-1526604-7803547</t>
  </si>
  <si>
    <t>Fri, 13 Aug, 2021, 12:02 pm IST</t>
  </si>
  <si>
    <t>Jolly</t>
  </si>
  <si>
    <t>GUWAHATI,</t>
  </si>
  <si>
    <t>405-1981073-5970737</t>
  </si>
  <si>
    <t>Tue, 5 Oct, 2021, 8:53 pm IST</t>
  </si>
  <si>
    <t>Jitu</t>
  </si>
  <si>
    <t>SKU:  I1-AWVT-2QOL</t>
  </si>
  <si>
    <t>Women's Pure Leather Jhallar Clutch Purse with Zipper Compartments | Polka Dot Block Print Ladies Wallet (Brown, 1 pc)</t>
  </si>
  <si>
    <t>171-5705929-2195543</t>
  </si>
  <si>
    <t>Mon, 16 Aug, 2021, 9:27 pm IST</t>
  </si>
  <si>
    <t>John</t>
  </si>
  <si>
    <t>Ernakulam,</t>
  </si>
  <si>
    <t>KERALA</t>
  </si>
  <si>
    <t>405-1111150-1834754</t>
  </si>
  <si>
    <t>Sun, 5 Sept, 2021, 12:22 am IST</t>
  </si>
  <si>
    <t>Jai</t>
  </si>
  <si>
    <t>403-1631300-1893901</t>
  </si>
  <si>
    <t>Sat, 13 Nov, 2021, 4:47 pm IST</t>
  </si>
  <si>
    <t>saravanan</t>
  </si>
  <si>
    <t>KARAIKKUDI,</t>
  </si>
  <si>
    <t>SKU:  WR-ANCX-U28C</t>
  </si>
  <si>
    <t>Bright and Colorful Shantiniketan Leather Elephant Piggy Coin Bank for Kids/Adults | Light-Weight Handcrafted Elephant Shaped Money Bank (Orange, Larg</t>
  </si>
  <si>
    <t>402-5621007-4266725</t>
  </si>
  <si>
    <t>Tue, 24 Aug, 2021, 5:18 pm IST</t>
  </si>
  <si>
    <t>Tarek</t>
  </si>
  <si>
    <t>SKU:  W4-JQ2J-ZUF2</t>
  </si>
  <si>
    <t>100% Pure Leather Shantiniketan Clutch Purse: Traditional Block Print Bi-color Women's Wallets with Multiple Pockets and Zipper Compartments (1 pc) (O</t>
  </si>
  <si>
    <t>404-7918321-6528342</t>
  </si>
  <si>
    <t>Wed, 16 Jun, 2021, 8:53 pm IST</t>
  </si>
  <si>
    <t>narendra</t>
  </si>
  <si>
    <t>KODAD,</t>
  </si>
  <si>
    <t>SKU:  5B-NW9K-L3AO</t>
  </si>
  <si>
    <t>Pure Leather Elephant Shaped Piggy Coin Bank | Money Bank for Kids | Gift Ideas (Red, S)</t>
  </si>
  <si>
    <t>₹175.00</t>
  </si>
  <si>
    <t>406-5723826-0192341</t>
  </si>
  <si>
    <t>Fri, 22 Oct, 2021, 2:57 pm IST</t>
  </si>
  <si>
    <t>Sailee</t>
  </si>
  <si>
    <t>406-5208445-6151521</t>
  </si>
  <si>
    <t>Tue, 26 Oct, 2021, 9:59 am IST</t>
  </si>
  <si>
    <t>Saravana</t>
  </si>
  <si>
    <t>SKU:  86-JXO3-EJ7K</t>
  </si>
  <si>
    <t>Bright and Colorful Handmade Shantiniketan Leather Ganesh Ji Piggy Coin Bank for Kids/Adults | Home Décor Handicrafts (Green)</t>
  </si>
  <si>
    <t>404-5515061-6165137</t>
  </si>
  <si>
    <t>Fri, 15 Oct, 2021, 8:27 pm IST</t>
  </si>
  <si>
    <t>Arpita</t>
  </si>
  <si>
    <t>406-4504814-5756357</t>
  </si>
  <si>
    <t>Wed, 16 Jun, 2021, 10:35 pm IST</t>
  </si>
  <si>
    <t>Shamal</t>
  </si>
  <si>
    <t>BADLAPUR,</t>
  </si>
  <si>
    <t>Pure Leather Ganesh Piggy Bank | Money Bank for Kids (Red, M)</t>
  </si>
  <si>
    <t>403-7364233-8411519</t>
  </si>
  <si>
    <t>Thu, 4 Nov, 2021, 7:38 am IST</t>
  </si>
  <si>
    <t>Salima</t>
  </si>
  <si>
    <t>402-0413922-0000337</t>
  </si>
  <si>
    <t>Thu, 11 Nov, 2021, 6:16 am IST</t>
  </si>
  <si>
    <t>Hemant</t>
  </si>
  <si>
    <t>Surat,</t>
  </si>
  <si>
    <t>SKU:  SB-WDQN-SDN9</t>
  </si>
  <si>
    <t>Traditional Block-Printed Women's 100% Pure Leather Shoulder Bag: Double Handle Red Handbag | Multi-pocket Shantiniketan Leather Bag for Women</t>
  </si>
  <si>
    <t>₹1,299.00</t>
  </si>
  <si>
    <t>₹178.18</t>
  </si>
  <si>
    <t>171-1070115-6195560</t>
  </si>
  <si>
    <t>Wed, 16 Jun, 2021, 4:27 pm IST</t>
  </si>
  <si>
    <t>soumya</t>
  </si>
  <si>
    <t>THANE,</t>
  </si>
  <si>
    <t>407-5532335-4314768</t>
  </si>
  <si>
    <t>Sun, 13 Jun, 2021, 7:08 pm IST</t>
  </si>
  <si>
    <t>Pavithra</t>
  </si>
  <si>
    <t>POLLACHI,</t>
  </si>
  <si>
    <t>SKU:  QV-PHXY-LGY8</t>
  </si>
  <si>
    <t>Pure Leather Ganesh Piggy Bank | Money Bank for Kids (Black, M)</t>
  </si>
  <si>
    <t>402-6806027-8773139</t>
  </si>
  <si>
    <t>Mon, 29 Nov, 2021, 10:34 am IST</t>
  </si>
  <si>
    <t>Rana</t>
  </si>
  <si>
    <t>Pune,</t>
  </si>
  <si>
    <t>Maharashtra</t>
  </si>
  <si>
    <t>407-5896934-9005133</t>
  </si>
  <si>
    <t>Tue, 26 Oct, 2021, 10:32 am IST</t>
  </si>
  <si>
    <t>Sumita</t>
  </si>
  <si>
    <t>SKU:  H6-A9OJ-C0Q1</t>
  </si>
  <si>
    <t>100% Pure Leather Shantiniketan Clutch Purse: Traditional Block Print Bi-color Women's Wallets with Multiple Pockets and Zipper Compartments (1 pc) (R</t>
  </si>
  <si>
    <t>403-3892336-2999521</t>
  </si>
  <si>
    <t>Mon, 28 Jun, 2021, 5:15 pm IST</t>
  </si>
  <si>
    <t>Ajay</t>
  </si>
  <si>
    <t>RAIPUR,</t>
  </si>
  <si>
    <t>₹349.00</t>
  </si>
  <si>
    <t>406-9458224-2717157</t>
  </si>
  <si>
    <t>Tue, 9 Nov, 2021, 11:23 pm IST</t>
  </si>
  <si>
    <t>Pooja</t>
  </si>
  <si>
    <t>408-4317100-7692318</t>
  </si>
  <si>
    <t>Sun, 7 Nov, 2021, 6:58 pm IST</t>
  </si>
  <si>
    <t>Priyanka</t>
  </si>
  <si>
    <t>402-6701060-6592325</t>
  </si>
  <si>
    <t>Fri, 1 Oct, 2021, 11:35 pm IST</t>
  </si>
  <si>
    <t>SKU:  1T-RAUZ-UZKO</t>
  </si>
  <si>
    <t>Women's Pure Leather Jhallar Clutch Purse with Zipper Compartments | Floral Block Print Ladies Wallet (Green, 1 pc)</t>
  </si>
  <si>
    <t>405-0978927-9443544</t>
  </si>
  <si>
    <t>Wed, 10 Nov, 2021, 9:24 pm IST</t>
  </si>
  <si>
    <t>A</t>
  </si>
  <si>
    <t>JALANDHAR,</t>
  </si>
  <si>
    <t>PUNJAB</t>
  </si>
  <si>
    <t>407-4805322-7498725</t>
  </si>
  <si>
    <t>Wed, 23 Jun, 2021, 6:09 am IST</t>
  </si>
  <si>
    <t>Velmurugan</t>
  </si>
  <si>
    <t>THISAYANVILAI,</t>
  </si>
  <si>
    <t>Pure Leather Elephant Shaped Piggy Coin Bank | Money Bank for Kids | Gift Ideas (Black, L)</t>
  </si>
  <si>
    <t>406-6432664-4853932</t>
  </si>
  <si>
    <t>Sun, 19 Sept, 2021, 11:57 am IST</t>
  </si>
  <si>
    <t>Nilanjana</t>
  </si>
  <si>
    <t>BIDHAN NAGAR,</t>
  </si>
  <si>
    <t>407-8790284-0125124</t>
  </si>
  <si>
    <t>Sun, 10 Oct, 2021, 11:02 pm IST</t>
  </si>
  <si>
    <t>402-4834476-0320360</t>
  </si>
  <si>
    <t>Mon, 16 Aug, 2021, 1:37 pm IST</t>
  </si>
  <si>
    <t>Abhishek</t>
  </si>
  <si>
    <t>SKU:  UR-WJJ0-I3TN</t>
  </si>
  <si>
    <t>Pure 100% Leather Block Print Rectangular Jewelry Box with Mirror | Button Closure Multiple Utility Case (Shantiniketan Handicrafts) (Red)</t>
  </si>
  <si>
    <t>171-2479820-8391565</t>
  </si>
  <si>
    <t>Thu, 29 Jul, 2021, 6:04 pm IST</t>
  </si>
  <si>
    <t>Rajat</t>
  </si>
  <si>
    <t>New Delhi,</t>
  </si>
  <si>
    <t>SKU:  RG-29TH-MROF</t>
  </si>
  <si>
    <t>Bright and Colorful Handmade Shantiniketan Leather Ganesh Ji Piggy Coin Bank for Kids/Adults | Home Décor Handicrafts (Blue)</t>
  </si>
  <si>
    <t>408-0358198-6688308</t>
  </si>
  <si>
    <t>Wed, 21 Jul, 2021, 7:40 pm IST</t>
  </si>
  <si>
    <t>S.</t>
  </si>
  <si>
    <t>Tuticorin,</t>
  </si>
  <si>
    <t>SKU:  GP-RMI4-GJ6L</t>
  </si>
  <si>
    <t>Bright &amp; Colorful Shantiniketan Leather Piggy Bank for Kids/Adults | Light-Weight Handcrafted Owl Shaped Coin Bank (Green)</t>
  </si>
  <si>
    <t>171-2095880-5548309</t>
  </si>
  <si>
    <t>Fri, 12 Nov, 2021, 7:10 pm IST</t>
  </si>
  <si>
    <t>Kusum</t>
  </si>
  <si>
    <t>JAIPUR,</t>
  </si>
  <si>
    <t>RAJASTHAN</t>
  </si>
  <si>
    <t>₹210.04</t>
  </si>
  <si>
    <t>403-3087278-4501963</t>
  </si>
  <si>
    <t>Sat, 27 Nov, 2021, 9:28 pm IST</t>
  </si>
  <si>
    <t>Vinithra</t>
  </si>
  <si>
    <t>CHENNAI,</t>
  </si>
  <si>
    <t>SKU:  U1-8YOK-510E</t>
  </si>
  <si>
    <t>100% Leather Cat Shaped Piggy Coin Bank | Block Printed West Bengal Handicrafts (Shantiniketan Art) | Money Bank for Kids | Children's Gift Ideas (Blu</t>
  </si>
  <si>
    <t>406-6774677-4553965</t>
  </si>
  <si>
    <t>Tue, 13 Jul, 2021, 12:04 pm IST</t>
  </si>
  <si>
    <t>402-6614720-2475547</t>
  </si>
  <si>
    <t>Sun, 19 Sept, 2021, 7:52 pm IST</t>
  </si>
  <si>
    <t>Anjana</t>
  </si>
  <si>
    <t>PALAI,</t>
  </si>
  <si>
    <t>405-4735668-0393136</t>
  </si>
  <si>
    <t>Thu, 23 Sept, 2021, 3:19 pm IST</t>
  </si>
  <si>
    <t>Noopur</t>
  </si>
  <si>
    <t>KORBA,</t>
  </si>
  <si>
    <t>408-7282076-9330761</t>
  </si>
  <si>
    <t>Sun, 24 Oct, 2021, 6:56 pm IST</t>
  </si>
  <si>
    <t>Deepak</t>
  </si>
  <si>
    <t>SKU:  D9-CVL3-8JF6</t>
  </si>
  <si>
    <t>Bright and Colorful Handmade Shantiniketan Leather Ganesh Ji Piggy Coin Bank for Kids/Adults | Home Décor Handicrafts (Black)</t>
  </si>
  <si>
    <t>403-9782961-0644358</t>
  </si>
  <si>
    <t>Wed, 10 Nov, 2021, 6:00 pm IST</t>
  </si>
  <si>
    <t>Madhavi</t>
  </si>
  <si>
    <t>402-3054284-1226754</t>
  </si>
  <si>
    <t>Thu, 18 Nov, 2021, 12:32 am IST</t>
  </si>
  <si>
    <t>Sayantani</t>
  </si>
  <si>
    <t>SKU:  G4-B5GQ-8V30</t>
  </si>
  <si>
    <t>100% Pure Leather Shantiniketan Clutch Purse: Traditional Block Print Bi-color Women's Wallets with Multiple Pockets and Zipper Compartments (1 pc) (B</t>
  </si>
  <si>
    <t>403-4722970-7103536</t>
  </si>
  <si>
    <t>Thu, 4 Nov, 2021, 8:52 am IST</t>
  </si>
  <si>
    <t>407-8029342-1162714</t>
  </si>
  <si>
    <t>Wed, 1 Sept, 2021, 11:32 am IST</t>
  </si>
  <si>
    <t>Sharad</t>
  </si>
  <si>
    <t>SKU:  NV-1DWM-41VX</t>
  </si>
  <si>
    <t>Bright &amp; Colorful Shantiniketan Leather Piggy Bank for Kids/Adults | Light-Weight Handcrafted Owl Shaped Coin Bank (Red)</t>
  </si>
  <si>
    <t>406-9976360-8935534</t>
  </si>
  <si>
    <t>Sat, 20 Nov, 2021, 2:41 am IST</t>
  </si>
  <si>
    <t>406-0702616-4123501</t>
  </si>
  <si>
    <t>Sun, 29 Aug, 2021, 11:28 pm IST</t>
  </si>
  <si>
    <t>Mahalakshmi</t>
  </si>
  <si>
    <t>SKU:  9W-AS6W-6O9X</t>
  </si>
  <si>
    <t>Pure 100% Leather Block Print Rectangular Jewelry Box with Mirror | Button Closure Multiple Utility Case (Shantiniketan Handicrafts) (Blue)</t>
  </si>
  <si>
    <t>408-6770537-3774707</t>
  </si>
  <si>
    <t>Sun, 17 Oct, 2021, 10:22 am IST</t>
  </si>
  <si>
    <t>Paromita</t>
  </si>
  <si>
    <t>2</t>
  </si>
  <si>
    <t>₹898.00</t>
  </si>
  <si>
    <t>403-4274611-4049927</t>
  </si>
  <si>
    <t>Thu, 7 Oct, 2021, 11:23 am IST</t>
  </si>
  <si>
    <t>SAHARANPUR,</t>
  </si>
  <si>
    <t>407-7598159-3965161</t>
  </si>
  <si>
    <t>Mon, 15 Nov, 2021, 12:29 pm IST</t>
  </si>
  <si>
    <t>chandni</t>
  </si>
  <si>
    <t>THAMARASSERY,</t>
  </si>
  <si>
    <t>403-0124463-2966723</t>
  </si>
  <si>
    <t>Mon, 26 Jul, 2021, 8:15 am IST</t>
  </si>
  <si>
    <t>Thanigaivel</t>
  </si>
  <si>
    <t>SKU:  QD-RNE2-2FH8</t>
  </si>
  <si>
    <t>Colourful and Bright Peacock Shaped Piggy Coin Bank | Block Printed West Bengal's 100% Leather Handicrafts (Shantiniketan Art) | Money Bank for Kids |</t>
  </si>
  <si>
    <t>403-5745034-5441137</t>
  </si>
  <si>
    <t>Fri, 20 Aug, 2021, 11:07 pm IST</t>
  </si>
  <si>
    <t>parul</t>
  </si>
  <si>
    <t>SKU:  3V-FKXN-C4QJ</t>
  </si>
  <si>
    <t>Handcrafted Women's Traditional Block Printed Handbag: 100% Pure Leather Shantiniketan Shoulder Bag | Multi Pocket with Highly Durable Leather Handles</t>
  </si>
  <si>
    <t>404-1364960-1146735</t>
  </si>
  <si>
    <t>Thu, 25 Nov, 2021, 10:09 pm IST</t>
  </si>
  <si>
    <t>swati</t>
  </si>
  <si>
    <t>171-5917046-2682765</t>
  </si>
  <si>
    <t>Thu, 7 Oct, 2021, 10:04 am IST</t>
  </si>
  <si>
    <t>Anku</t>
  </si>
  <si>
    <t>408-9069501-2731541</t>
  </si>
  <si>
    <t>Wed, 18 Aug, 2021, 11:10 am IST</t>
  </si>
  <si>
    <t>shweta</t>
  </si>
  <si>
    <t>403-3308024-9965128</t>
  </si>
  <si>
    <t>Tue, 16 Nov, 2021, 9:04 am IST</t>
  </si>
  <si>
    <t>405-7861224-4380325</t>
  </si>
  <si>
    <t>Sat, 13 Nov, 2021, 12:48 pm IST</t>
  </si>
  <si>
    <t>Gaurang</t>
  </si>
  <si>
    <t>406-9977841-6948310</t>
  </si>
  <si>
    <t>Thu, 16 Sept, 2021, 6:59 am IST</t>
  </si>
  <si>
    <t>Pramod</t>
  </si>
  <si>
    <t>GAUTAM BUDDHA NAGAR,</t>
  </si>
  <si>
    <t>171-6267238-3345112</t>
  </si>
  <si>
    <t>Thu, 18 Nov, 2021, 9:55 pm IST</t>
  </si>
  <si>
    <t>3</t>
  </si>
  <si>
    <t>₹1,347.00</t>
  </si>
  <si>
    <t>405-3304794-2671568</t>
  </si>
  <si>
    <t>Sat, 9 Oct, 2021, 8:46 pm IST</t>
  </si>
  <si>
    <t>Shobhit</t>
  </si>
  <si>
    <t>404-3621013-4015566</t>
  </si>
  <si>
    <t>Sun, 8 Aug, 2021, 7:08 am IST</t>
  </si>
  <si>
    <t>roohi</t>
  </si>
  <si>
    <t>407-9473791-2643568</t>
  </si>
  <si>
    <t>Fri, 25 Feb, 2022, 12:04 am IST</t>
  </si>
  <si>
    <t>chandrima</t>
  </si>
  <si>
    <t>KATWA,</t>
  </si>
  <si>
    <t>SKU:  P1-LF2X-L3ZC</t>
  </si>
  <si>
    <t>Colourful and Bright Peacock Shaped Piggy Coin Bank | Block Printed West Bengal's 100% Leather Handicrafts (Shantiniketan Art) | Money Bank for Kids | Children's Gift Ideas (1 pc) (Red)</t>
  </si>
  <si>
    <t>171-5463316-4433940</t>
  </si>
  <si>
    <t>Thu, 27 Jan, 2022, 5:31 pm IST</t>
  </si>
  <si>
    <t>Vadim</t>
  </si>
  <si>
    <t>406-8570816-2548324</t>
  </si>
  <si>
    <t>Sun, 30 Jan, 2022, 10:25 am IST</t>
  </si>
  <si>
    <t>pallavi</t>
  </si>
  <si>
    <t>Set of 2 Pure 100% Leather Block Print Rectangular Jewelry Box with Mirror | Button Closure Multiple Utility Case (Shantiniketan Handicrafts)</t>
  </si>
  <si>
    <t>₹499.00</t>
  </si>
  <si>
    <t>171-1925470-1621156</t>
  </si>
  <si>
    <t>Tue, 25 Jan, 2022, 11:42 am IST</t>
  </si>
  <si>
    <t>Deepali</t>
  </si>
  <si>
    <t>JODHPUR,</t>
  </si>
  <si>
    <t>404-9528809-9494717</t>
  </si>
  <si>
    <t>Mon, 3 Jan, 2022, 9:43 pm IST</t>
  </si>
  <si>
    <t>Dr.</t>
  </si>
  <si>
    <t>MALDA,</t>
  </si>
  <si>
    <t>404-3361026-0027538</t>
  </si>
  <si>
    <t>Mon, 29 Nov, 2021, 6:09 pm IST</t>
  </si>
  <si>
    <t>Sayanti</t>
  </si>
  <si>
    <t>NOIDA,</t>
  </si>
  <si>
    <t>SKU:  7K-6YIU-KO0R</t>
  </si>
  <si>
    <t>Women's Pure Leather Jhallar Clutch Purse with Zipper Compartments | Polka Dot Block Print Ladies Wallet (Dark Green, 1 pc)</t>
  </si>
  <si>
    <t>408-1794879-4342714</t>
  </si>
  <si>
    <t>Thu, 23 Dec, 2021, 12:02 pm IST</t>
  </si>
  <si>
    <t>Apoorva</t>
  </si>
  <si>
    <t>403-2108547-9065907</t>
  </si>
  <si>
    <t>Thu, 10 Feb, 2022, 11:22 pm IST</t>
  </si>
  <si>
    <t>RishuGarg</t>
  </si>
  <si>
    <t>Set of 3 Pure Leather Block Print Round Jewelry Boxes | Button Closure Multiple Utility Case (Shantiniketan Handicrafts) (Brown)</t>
  </si>
  <si>
    <t>₹475.00</t>
  </si>
  <si>
    <t>405-0789055-6741110</t>
  </si>
  <si>
    <t>Fri, 25 Feb, 2022, 8:44 pm IST</t>
  </si>
  <si>
    <t>Harshini</t>
  </si>
  <si>
    <t>SECUNDERABAD,</t>
  </si>
  <si>
    <t>100% Pure Leather Shantiniketan Clutch Purse: Traditional Block Print Bi-color Women's Wallets with Multiple Pockets and Zipper Compartments (1 pc) (Orange)</t>
  </si>
  <si>
    <t>171-4664401-7903525</t>
  </si>
  <si>
    <t>Sun, 26 Dec, 2021, 6:00 am IST</t>
  </si>
  <si>
    <t>Madhuparna</t>
  </si>
  <si>
    <t>Kolkata,</t>
  </si>
  <si>
    <t>SKU:  NT-6I2C-2TWX</t>
  </si>
  <si>
    <t>Handcrafted Women's Handbag: 100% Pure Shantiniketan Leather Polka Dotted Shoulder Bag | Multi Pocket with Highly Durable Leather Handles (Black)</t>
  </si>
  <si>
    <t>₹80.24</t>
  </si>
  <si>
    <t>406-1051099-3807565</t>
  </si>
  <si>
    <t>Wed, 19 Jan, 2022, 7:13 pm IST</t>
  </si>
  <si>
    <t>Shakti</t>
  </si>
  <si>
    <t>408-9435263-6891514</t>
  </si>
  <si>
    <t>Thu, 9 Dec, 2021, 3:48 pm IST</t>
  </si>
  <si>
    <t>Sharmila</t>
  </si>
  <si>
    <t>₹146.32</t>
  </si>
  <si>
    <t>405-0868310-6684357</t>
  </si>
  <si>
    <t>Fri, 17 Dec, 2021, 3:57 pm IST</t>
  </si>
  <si>
    <t>Monali</t>
  </si>
  <si>
    <t>SIWAN,</t>
  </si>
  <si>
    <t>BIHAR</t>
  </si>
  <si>
    <t>SKU:  X2-PMD5-PL2D</t>
  </si>
  <si>
    <t>Bright and Colorful Handmade Shantiniketan Leather Ganesh Ji Piggy Coin Bank for Kids/Adults | Home Décor Handicrafts (Yellow)</t>
  </si>
  <si>
    <t>407-2925312-1225952</t>
  </si>
  <si>
    <t>Wed, 8 Dec, 2021, 9:22 pm IST</t>
  </si>
  <si>
    <t>anjali</t>
  </si>
  <si>
    <t>405-0209265-6273962</t>
  </si>
  <si>
    <t>Sun, 23 Jan, 2022, 9:37 am IST</t>
  </si>
  <si>
    <t>Gargi</t>
  </si>
  <si>
    <t>SKU:  V6-KQJX-XGP2</t>
  </si>
  <si>
    <t>Women's Pure Leather Jhallar Clutch Purse with Zipper Compartments | Motif Block Print Ladies Wallet (Blue, 1 pc)</t>
  </si>
  <si>
    <t>403-0102354-2668323</t>
  </si>
  <si>
    <t>Sun, 30 Jan, 2022, 2:42 am IST</t>
  </si>
  <si>
    <t>Jeevan</t>
  </si>
  <si>
    <t>407-3924859-8788324</t>
  </si>
  <si>
    <t>Mon, 6 Dec, 2021, 4:22 pm IST</t>
  </si>
  <si>
    <t>kritika</t>
  </si>
  <si>
    <t>NAVI MUMBAI,</t>
  </si>
  <si>
    <t>402-6563725-6606725</t>
  </si>
  <si>
    <t>Tue, 21 Dec, 2021, 4:11 pm IST</t>
  </si>
  <si>
    <t>Mitra</t>
  </si>
  <si>
    <t>₹3,897.00</t>
  </si>
  <si>
    <t>₹133.34</t>
  </si>
  <si>
    <t>408-3173592-1224340</t>
  </si>
  <si>
    <t>Thu, 9 Dec, 2021, 1:22 pm IST</t>
  </si>
  <si>
    <t>406-6970801-9059504</t>
  </si>
  <si>
    <t>Wed, 1 Dec, 2021, 7:12 pm IST</t>
  </si>
  <si>
    <t>Rebecca</t>
  </si>
  <si>
    <t>Bardez,</t>
  </si>
  <si>
    <t>407-7313002-2067527</t>
  </si>
  <si>
    <t>Fri, 4 Feb, 2022, 11:44 pm IST</t>
  </si>
  <si>
    <t>pavithra</t>
  </si>
  <si>
    <t>chennai,</t>
  </si>
  <si>
    <t>SKU:  4H-Y62P-R483</t>
  </si>
  <si>
    <t>Stylish and Sleek Multiple Pockets 100% Leather Shoulder Bag | Contemporary Indian Leather Handicrafts for Women (Black)</t>
  </si>
  <si>
    <t>₹1,499.00</t>
  </si>
  <si>
    <t>402-9977250-1302757</t>
  </si>
  <si>
    <t>Tue, 21 Dec, 2021, 4:15 pm IST</t>
  </si>
  <si>
    <t>₹241.90</t>
  </si>
  <si>
    <t>404-7450458-9882702</t>
  </si>
  <si>
    <t>Mon, 6 Dec, 2021, 11:29 pm IST</t>
  </si>
  <si>
    <t>Thane District,</t>
  </si>
  <si>
    <t>SKU:  4V-I7XD-JQVR</t>
  </si>
  <si>
    <t>Bright and Colorful Shantiniketan Leather Elephant Piggy Coin Bank for Kids/Adults | Light-Weight Handcrafted Elephant Shaped Money Bank (Black, Small</t>
  </si>
  <si>
    <t>402-4007700-9289906</t>
  </si>
  <si>
    <t>Mon, 13 Dec, 2021, 1:03 pm IST</t>
  </si>
  <si>
    <t>Valli</t>
  </si>
  <si>
    <t>SKU:  8V-OQ14-I63T</t>
  </si>
  <si>
    <t>Bright and Colorful Shantiniketan Leather Elephant Piggy Coin Bank for Kids/Adults | Light-Weight Handcrafted Elephant Shaped Money Bank (Yellow, Larg</t>
  </si>
  <si>
    <t>408-9442756-9477100</t>
  </si>
  <si>
    <t>Wed, 2 Feb, 2022, 11:58 am IST</t>
  </si>
  <si>
    <t>amit</t>
  </si>
  <si>
    <t>INDORE,</t>
  </si>
  <si>
    <t>403-7552858-2817166</t>
  </si>
  <si>
    <t>Sat, 4 Dec, 2021, 2:28 pm IST</t>
  </si>
  <si>
    <t>Anastasiia</t>
  </si>
  <si>
    <t>Visakhapatnam,</t>
  </si>
  <si>
    <t>404-9326436-3517161</t>
  </si>
  <si>
    <t>Wed, 29 Dec, 2021, 1:03 pm IST</t>
  </si>
  <si>
    <t>Santhosh</t>
  </si>
  <si>
    <t>405-8264291-1183552</t>
  </si>
  <si>
    <t>Tue, 11 Jan, 2022, 1:46 pm IST</t>
  </si>
  <si>
    <t>403-9089686-7304307</t>
  </si>
  <si>
    <t>Mon, 6 Dec, 2021, 10:25 pm IST</t>
  </si>
  <si>
    <t>J</t>
  </si>
  <si>
    <t>SKU:  ST-27BR-VEMQ</t>
  </si>
  <si>
    <t>Stunning Women's Finished Leather Handbag | Sleek and Elegant Party Bag with Glamorous Steel Rings and Multiple Pockets (Pink)</t>
  </si>
  <si>
    <t>₹899.00</t>
  </si>
  <si>
    <t>403-3882329-3552343</t>
  </si>
  <si>
    <t>Thu, 20 Jan, 2022, 11:49 am IST</t>
  </si>
  <si>
    <t>Set of 3 Pure Leather Block Print Round Jewelry Boxes | Button Closure Multiple Utility Case (Shantiniketan Handicrafts) (Yellow)</t>
  </si>
  <si>
    <t>407-4026447-7131527</t>
  </si>
  <si>
    <t>Sat, 4 Dec, 2021, 10:32 pm IST</t>
  </si>
  <si>
    <t>171-5230421-3237921</t>
  </si>
  <si>
    <t>Wed, 8 Dec, 2021, 12:15 am IST</t>
  </si>
  <si>
    <t>403-2445664-7853913</t>
  </si>
  <si>
    <t>Wed, 1 Dec, 2021, 12:58 pm IST</t>
  </si>
  <si>
    <t>vvijayakakshmi</t>
  </si>
  <si>
    <t>407-8892478-3863557</t>
  </si>
  <si>
    <t>Mon, 14 Feb, 2022, 7:12 pm IST</t>
  </si>
  <si>
    <t>Tapan</t>
  </si>
  <si>
    <t>GHAZIABAD,</t>
  </si>
  <si>
    <t>SKU:  NN-AGEZ-5DUM</t>
  </si>
  <si>
    <t>171-3919731-3769907</t>
  </si>
  <si>
    <t>Tue, 25 Jan, 2022, 11:32 am IST</t>
  </si>
  <si>
    <t>171-3733329-6916359</t>
  </si>
  <si>
    <t>Fri, 10 Dec, 2021, 5:53 pm IST</t>
  </si>
  <si>
    <t>Shahin</t>
  </si>
  <si>
    <t>171-7361479-0297146</t>
  </si>
  <si>
    <t>Fri, 10 Dec, 2021, 11:38 am IST</t>
  </si>
  <si>
    <t>Amol</t>
  </si>
  <si>
    <t>₹1,796.00</t>
  </si>
  <si>
    <t>408-9200041-8517139</t>
  </si>
  <si>
    <t>Sun, 2 Jan, 2022, 5:51 pm IST</t>
  </si>
  <si>
    <t>ROHIT</t>
  </si>
  <si>
    <t>408-3276798-6731502</t>
  </si>
  <si>
    <t>Tue, 30 Nov, 2021, 7:49 pm IST</t>
  </si>
  <si>
    <t>Kumar</t>
  </si>
  <si>
    <t>405-7588425-0136360</t>
  </si>
  <si>
    <t>Sat, 4 Dec, 2021, 12:43 am IST</t>
  </si>
  <si>
    <t>406-6034782-6293117</t>
  </si>
  <si>
    <t>Fri, 31 Dec, 2021, 9:55 pm IST</t>
  </si>
  <si>
    <t>NANDINI</t>
  </si>
  <si>
    <t>403-1376026-4537157</t>
  </si>
  <si>
    <t>Sun, 30 Jan, 2022, 7:13 pm IST</t>
  </si>
  <si>
    <t>ONGC</t>
  </si>
  <si>
    <t>VADODARA,</t>
  </si>
  <si>
    <t>Bright and Colorful Shantiniketan Leather Elephant Piggy Coin Bank for Kids/Adults | Light-Weight Handcrafted Elephant Shaped Money Bank (Red, Small)</t>
  </si>
  <si>
    <t>402-3108828-3083537</t>
  </si>
  <si>
    <t>Wed, 29 Dec, 2021, 8:44 am IST</t>
  </si>
  <si>
    <t>RAJAT</t>
  </si>
  <si>
    <t>MOHALI,</t>
  </si>
  <si>
    <t>171-5110229-2797921</t>
  </si>
  <si>
    <t>Sun, 16 Jan, 2022, 5:23 pm IST</t>
  </si>
  <si>
    <t>ria</t>
  </si>
  <si>
    <t>171-1659664-7877932</t>
  </si>
  <si>
    <t>Wed, 23 Feb, 2022, 9:29 pm IST</t>
  </si>
  <si>
    <t>Saba</t>
  </si>
  <si>
    <t>AMROHA,</t>
  </si>
  <si>
    <t>404-5325305-3342738</t>
  </si>
  <si>
    <t>Wed, 9 Feb, 2022, 7:17 pm IST</t>
  </si>
  <si>
    <t>Poonam</t>
  </si>
  <si>
    <t>408-4117801-6732368</t>
  </si>
  <si>
    <t>Thu, 13 Jan, 2022, 7:35 pm IST</t>
  </si>
  <si>
    <t>VAISHALI</t>
  </si>
  <si>
    <t>LUCKNOW,</t>
  </si>
  <si>
    <t>405-0409316-6263510</t>
  </si>
  <si>
    <t>Mon, 20 Dec, 2021, 8:29 pm IST</t>
  </si>
  <si>
    <t>Faruk</t>
  </si>
  <si>
    <t>407-0369001-6370762</t>
  </si>
  <si>
    <t>Sun, 9 Jan, 2022, 12:28 am IST</t>
  </si>
  <si>
    <t>402-1369108-5988348</t>
  </si>
  <si>
    <t>Thu, 9 Dec, 2021, 11:29 am IST</t>
  </si>
  <si>
    <t>Mariatta</t>
  </si>
  <si>
    <t>Kodambakkam, Chennai,</t>
  </si>
  <si>
    <t>405-7352232-5348320</t>
  </si>
  <si>
    <t>Sun, 19 Dec, 2021, 7:41 am IST</t>
  </si>
  <si>
    <t>DIVYA</t>
  </si>
  <si>
    <t>171-8930811-8770760</t>
  </si>
  <si>
    <t>Mon, 21 Feb, 2022, 7:52 pm IST</t>
  </si>
  <si>
    <t>Shishir</t>
  </si>
  <si>
    <t>ALLAHABAD,</t>
  </si>
  <si>
    <t>404-5892855-1521926</t>
  </si>
  <si>
    <t>Wed, 15 Dec, 2021, 11:11 am IST</t>
  </si>
  <si>
    <t>veena</t>
  </si>
  <si>
    <t>SKU:  V6-VUWR-856W</t>
  </si>
  <si>
    <t>Bright &amp; Colorful Shantiniketan Leather Piggy Bank for Kids/Adults | Light-Weight Handcrafted Owl Shaped Coin Bank (Black)</t>
  </si>
  <si>
    <t>403-0543607-1044310</t>
  </si>
  <si>
    <t>Tue, 1 Feb, 2022, 6:45 am IST</t>
  </si>
  <si>
    <t>Gita</t>
  </si>
  <si>
    <t>171-4338001-7654754</t>
  </si>
  <si>
    <t>Sun, 9 Jan, 2022, 9:33 pm IST</t>
  </si>
  <si>
    <t>srisoma</t>
  </si>
  <si>
    <t>408-5721047-6522728</t>
  </si>
  <si>
    <t>Sun, 12 Dec, 2021, 7:09 pm IST</t>
  </si>
  <si>
    <t>Ashna</t>
  </si>
  <si>
    <t>402-5940762-2914747</t>
  </si>
  <si>
    <t>Sun, 2 Jan, 2022, 3:01 pm IST</t>
  </si>
  <si>
    <t>Swathi</t>
  </si>
  <si>
    <t>Set of 3 Pure Leather Block Print Round Jewelry Boxes | Button Closure Multiple Utility Case (Shantiniketan Handicrafts) (Green)</t>
  </si>
  <si>
    <t>407-6814126-3628337</t>
  </si>
  <si>
    <t>Wed, 8 Dec, 2021, 11:54 pm IST</t>
  </si>
  <si>
    <t>Aarti</t>
  </si>
  <si>
    <t>BILIMORA,</t>
  </si>
  <si>
    <t>171-3007462-1281169</t>
  </si>
  <si>
    <t>Thu, 17 Feb, 2022, 9:14 pm IST</t>
  </si>
  <si>
    <t>Captain</t>
  </si>
  <si>
    <t>SKU:  78-ZYA1-UMZH</t>
  </si>
  <si>
    <t>Bright and Colorful Horse Shaped Piggy Coin Bank | Block Printed West Bengal's 100% Leather Handicrafts (Shantiniketan Art) | Money Bank for Kids | Ch</t>
  </si>
  <si>
    <t>403-8215280-0912306</t>
  </si>
  <si>
    <t>Sun, 30 Jan, 2022, 1:37 pm IST</t>
  </si>
  <si>
    <t>402-2278272-1998728</t>
  </si>
  <si>
    <t>Fri, 10 Dec, 2021, 4:15 pm IST</t>
  </si>
  <si>
    <t>Dalreen</t>
  </si>
  <si>
    <t>405-3911719-8266724</t>
  </si>
  <si>
    <t>Wed, 1 Dec, 2021, 6:53 pm IST</t>
  </si>
  <si>
    <t>ANIL</t>
  </si>
  <si>
    <t>KANPUR,</t>
  </si>
  <si>
    <t>406-5755913-6641938</t>
  </si>
  <si>
    <t>Thu, 17 Feb, 2022, 8:47 am IST</t>
  </si>
  <si>
    <t>Shikha</t>
  </si>
  <si>
    <t>171-7565385-5722750</t>
  </si>
  <si>
    <t>Thu, 20 Jan, 2022, 10:57 am IST</t>
  </si>
  <si>
    <t>402-8044719-8889119</t>
  </si>
  <si>
    <t>Sat, 4 Dec, 2021, 10:28 pm IST</t>
  </si>
  <si>
    <t>Andhra Pradesh</t>
  </si>
  <si>
    <t>402-1808225-2809140</t>
  </si>
  <si>
    <t>Sat, 25 Dec, 2021, 4:03 pm IST</t>
  </si>
  <si>
    <t>User</t>
  </si>
  <si>
    <t>Solan,</t>
  </si>
  <si>
    <t>Himachal Pradesh</t>
  </si>
  <si>
    <t>171-2829978-1258758</t>
  </si>
  <si>
    <t>Mon, 13 Dec, 2021, 11:30 am IST</t>
  </si>
  <si>
    <t>402-3045457-5360311</t>
  </si>
  <si>
    <t>Wed, 1 Dec, 2021, 12:18 pm IST</t>
  </si>
  <si>
    <t>Sharmistha</t>
  </si>
  <si>
    <t>DEHRADUN,</t>
  </si>
  <si>
    <t>UTTARAKHAND</t>
  </si>
  <si>
    <t>408-2260162-8323567</t>
  </si>
  <si>
    <t>Thu, 9 Dec, 2021, 6:55 pm IST</t>
  </si>
  <si>
    <t>shashank</t>
  </si>
  <si>
    <t>Durg,</t>
  </si>
  <si>
    <t>₹105.02</t>
  </si>
  <si>
    <t>403-5664951-8941100</t>
  </si>
  <si>
    <t>Wed, 23 Feb, 2022, 12:43 am IST</t>
  </si>
  <si>
    <t>Jayeta</t>
  </si>
  <si>
    <t>SKU:  N8-YFZF-P74I</t>
  </si>
  <si>
    <t>Stylish and Sleek Multiple Pockets 100 Percent Leather Shoulder Bag Contemporary Indian Leather Handicrafts for Women (Yellow) (BL335)</t>
  </si>
  <si>
    <t>402-4845680-8041921</t>
  </si>
  <si>
    <t>Sun, 26 Dec, 2021, 6:21 pm IST</t>
  </si>
  <si>
    <t>Varun</t>
  </si>
  <si>
    <t>BURDWAN,</t>
  </si>
  <si>
    <t>MADHYA Pradesh</t>
  </si>
  <si>
    <t>yatipertin</t>
  </si>
  <si>
    <t>Removing_IST</t>
  </si>
  <si>
    <t>Removing_commas</t>
  </si>
  <si>
    <t>BUYER</t>
  </si>
  <si>
    <t>SHIP_CITY</t>
  </si>
  <si>
    <t>MUMBAI ,</t>
  </si>
  <si>
    <t>swagata</t>
  </si>
  <si>
    <t>SHIP_STATE</t>
  </si>
  <si>
    <t xml:space="preserve">       description</t>
  </si>
  <si>
    <t>ITEM_TOTAL</t>
  </si>
  <si>
    <t>SHIPPING</t>
  </si>
  <si>
    <t>PAYMENT</t>
  </si>
  <si>
    <t>ORDER_STATUS</t>
  </si>
  <si>
    <t>ORDER_DATE</t>
  </si>
  <si>
    <t>ORDER_TIME</t>
  </si>
  <si>
    <t>ORDER_DAYS</t>
  </si>
  <si>
    <t>10:38 pm</t>
  </si>
  <si>
    <t xml:space="preserve"> 6:05 pm</t>
  </si>
  <si>
    <t>10:20 pm</t>
  </si>
  <si>
    <t xml:space="preserve"> 4:06 am</t>
  </si>
  <si>
    <t xml:space="preserve"> 2:50 pm</t>
  </si>
  <si>
    <t xml:space="preserve"> 9:12 pm</t>
  </si>
  <si>
    <t xml:space="preserve"> 8:03 pm</t>
  </si>
  <si>
    <t xml:space="preserve"> 2:55 pm</t>
  </si>
  <si>
    <t xml:space="preserve"> 7:37 pm</t>
  </si>
  <si>
    <t xml:space="preserve"> 4:47 pm</t>
  </si>
  <si>
    <t>11:53 am</t>
  </si>
  <si>
    <t xml:space="preserve"> 7:43 am</t>
  </si>
  <si>
    <t>10:11 am</t>
  </si>
  <si>
    <t>10:05 am</t>
  </si>
  <si>
    <t>11:14 pm</t>
  </si>
  <si>
    <t xml:space="preserve"> 9:10 am</t>
  </si>
  <si>
    <t xml:space="preserve"> 7:48 am</t>
  </si>
  <si>
    <t>12:46 pm</t>
  </si>
  <si>
    <t xml:space="preserve"> 1:08 pm</t>
  </si>
  <si>
    <t>11:34 pm</t>
  </si>
  <si>
    <t xml:space="preserve"> 8:36 pm</t>
  </si>
  <si>
    <t xml:space="preserve"> 9:07 am</t>
  </si>
  <si>
    <t xml:space="preserve"> 7:22 pm</t>
  </si>
  <si>
    <t>10:15 pm</t>
  </si>
  <si>
    <t xml:space="preserve"> 9:32 am</t>
  </si>
  <si>
    <t xml:space="preserve"> 6:58 am</t>
  </si>
  <si>
    <t xml:space="preserve"> 6:41 pm</t>
  </si>
  <si>
    <t xml:space="preserve"> 8:16 pm</t>
  </si>
  <si>
    <t xml:space="preserve"> 9:30 am</t>
  </si>
  <si>
    <t xml:space="preserve"> 9:51 am</t>
  </si>
  <si>
    <t xml:space="preserve"> 2:19 pm</t>
  </si>
  <si>
    <t xml:space="preserve"> 8:06 am</t>
  </si>
  <si>
    <t xml:space="preserve"> 3:54 pm</t>
  </si>
  <si>
    <t xml:space="preserve"> 7:11 am</t>
  </si>
  <si>
    <t xml:space="preserve"> 2:35 pm</t>
  </si>
  <si>
    <t xml:space="preserve"> 5:03 pm</t>
  </si>
  <si>
    <t>11:33 am</t>
  </si>
  <si>
    <t xml:space="preserve"> 3:15 pm</t>
  </si>
  <si>
    <t xml:space="preserve"> 2:18 pm</t>
  </si>
  <si>
    <t xml:space="preserve"> 1:10 am</t>
  </si>
  <si>
    <t>11:38 am</t>
  </si>
  <si>
    <t xml:space="preserve"> 9:16 am</t>
  </si>
  <si>
    <t>11:28 pm</t>
  </si>
  <si>
    <t>12:02 pm</t>
  </si>
  <si>
    <t xml:space="preserve"> 8:53 pm</t>
  </si>
  <si>
    <t xml:space="preserve"> 9:27 pm</t>
  </si>
  <si>
    <t>12:22 am</t>
  </si>
  <si>
    <t xml:space="preserve"> 5:18 pm</t>
  </si>
  <si>
    <t xml:space="preserve"> 2:57 pm</t>
  </si>
  <si>
    <t xml:space="preserve"> 9:59 am</t>
  </si>
  <si>
    <t xml:space="preserve"> 8:27 pm</t>
  </si>
  <si>
    <t>10:35 pm</t>
  </si>
  <si>
    <t xml:space="preserve"> 7:38 am</t>
  </si>
  <si>
    <t xml:space="preserve"> 6:16 am</t>
  </si>
  <si>
    <t xml:space="preserve"> 4:27 pm</t>
  </si>
  <si>
    <t xml:space="preserve"> 7:08 pm</t>
  </si>
  <si>
    <t>10:34 am</t>
  </si>
  <si>
    <t>10:32 am</t>
  </si>
  <si>
    <t xml:space="preserve"> 5:15 pm</t>
  </si>
  <si>
    <t>11:23 pm</t>
  </si>
  <si>
    <t xml:space="preserve"> 6:58 pm</t>
  </si>
  <si>
    <t>11:35 pm</t>
  </si>
  <si>
    <t xml:space="preserve"> 9:24 pm</t>
  </si>
  <si>
    <t xml:space="preserve"> 6:09 am</t>
  </si>
  <si>
    <t>11:57 am</t>
  </si>
  <si>
    <t>11:02 pm</t>
  </si>
  <si>
    <t xml:space="preserve"> 1:37 pm</t>
  </si>
  <si>
    <t xml:space="preserve"> 6:04 pm</t>
  </si>
  <si>
    <t xml:space="preserve"> 7:40 pm</t>
  </si>
  <si>
    <t xml:space="preserve"> 7:10 pm</t>
  </si>
  <si>
    <t xml:space="preserve"> 9:28 pm</t>
  </si>
  <si>
    <t>12:04 pm</t>
  </si>
  <si>
    <t xml:space="preserve"> 7:52 pm</t>
  </si>
  <si>
    <t xml:space="preserve"> 3:19 pm</t>
  </si>
  <si>
    <t xml:space="preserve"> 6:56 pm</t>
  </si>
  <si>
    <t xml:space="preserve"> 6:00 pm</t>
  </si>
  <si>
    <t>12:32 am</t>
  </si>
  <si>
    <t xml:space="preserve"> 8:52 am</t>
  </si>
  <si>
    <t>11:32 am</t>
  </si>
  <si>
    <t xml:space="preserve"> 2:41 am</t>
  </si>
  <si>
    <t>10:22 am</t>
  </si>
  <si>
    <t>11:23 am</t>
  </si>
  <si>
    <t>12:29 pm</t>
  </si>
  <si>
    <t xml:space="preserve"> 8:15 am</t>
  </si>
  <si>
    <t>11:07 pm</t>
  </si>
  <si>
    <t>10:09 pm</t>
  </si>
  <si>
    <t>10:04 am</t>
  </si>
  <si>
    <t>11:10 am</t>
  </si>
  <si>
    <t xml:space="preserve"> 9:04 am</t>
  </si>
  <si>
    <t>12:48 pm</t>
  </si>
  <si>
    <t xml:space="preserve"> 6:59 am</t>
  </si>
  <si>
    <t xml:space="preserve"> 9:55 pm</t>
  </si>
  <si>
    <t xml:space="preserve"> 8:46 pm</t>
  </si>
  <si>
    <t xml:space="preserve"> 7:08 am</t>
  </si>
  <si>
    <t>12:04 am</t>
  </si>
  <si>
    <t xml:space="preserve"> 5:31 pm</t>
  </si>
  <si>
    <t>10:25 am</t>
  </si>
  <si>
    <t>11:42 am</t>
  </si>
  <si>
    <t xml:space="preserve"> 9:43 pm</t>
  </si>
  <si>
    <t xml:space="preserve"> 6:09 pm</t>
  </si>
  <si>
    <t>11:22 pm</t>
  </si>
  <si>
    <t xml:space="preserve"> 8:44 pm</t>
  </si>
  <si>
    <t xml:space="preserve"> 6:00 am</t>
  </si>
  <si>
    <t xml:space="preserve"> 7:13 pm</t>
  </si>
  <si>
    <t xml:space="preserve"> 3:48 pm</t>
  </si>
  <si>
    <t xml:space="preserve"> 3:57 pm</t>
  </si>
  <si>
    <t xml:space="preserve"> 9:22 pm</t>
  </si>
  <si>
    <t xml:space="preserve"> 9:37 am</t>
  </si>
  <si>
    <t xml:space="preserve"> 2:42 am</t>
  </si>
  <si>
    <t xml:space="preserve"> 4:22 pm</t>
  </si>
  <si>
    <t xml:space="preserve"> 4:11 pm</t>
  </si>
  <si>
    <t xml:space="preserve"> 1:22 pm</t>
  </si>
  <si>
    <t xml:space="preserve"> 7:12 pm</t>
  </si>
  <si>
    <t>11:44 pm</t>
  </si>
  <si>
    <t xml:space="preserve"> 4:15 pm</t>
  </si>
  <si>
    <t>11:29 pm</t>
  </si>
  <si>
    <t xml:space="preserve"> 1:03 pm</t>
  </si>
  <si>
    <t>11:58 am</t>
  </si>
  <si>
    <t xml:space="preserve"> 2:28 pm</t>
  </si>
  <si>
    <t xml:space="preserve"> 1:46 pm</t>
  </si>
  <si>
    <t>10:25 pm</t>
  </si>
  <si>
    <t>11:49 am</t>
  </si>
  <si>
    <t>10:32 pm</t>
  </si>
  <si>
    <t>12:15 am</t>
  </si>
  <si>
    <t>12:58 pm</t>
  </si>
  <si>
    <t xml:space="preserve"> 5:53 pm</t>
  </si>
  <si>
    <t xml:space="preserve"> 5:51 pm</t>
  </si>
  <si>
    <t xml:space="preserve"> 7:49 pm</t>
  </si>
  <si>
    <t>12:43 am</t>
  </si>
  <si>
    <t xml:space="preserve"> 8:44 am</t>
  </si>
  <si>
    <t xml:space="preserve"> 5:23 pm</t>
  </si>
  <si>
    <t xml:space="preserve"> 9:29 pm</t>
  </si>
  <si>
    <t xml:space="preserve"> 7:17 pm</t>
  </si>
  <si>
    <t xml:space="preserve"> 7:35 pm</t>
  </si>
  <si>
    <t xml:space="preserve"> 8:29 pm</t>
  </si>
  <si>
    <t>12:28 am</t>
  </si>
  <si>
    <t>11:29 am</t>
  </si>
  <si>
    <t xml:space="preserve"> 7:41 am</t>
  </si>
  <si>
    <t>11:11 am</t>
  </si>
  <si>
    <t xml:space="preserve"> 6:45 am</t>
  </si>
  <si>
    <t xml:space="preserve"> 9:33 pm</t>
  </si>
  <si>
    <t xml:space="preserve"> 7:09 pm</t>
  </si>
  <si>
    <t xml:space="preserve"> 3:01 pm</t>
  </si>
  <si>
    <t>11:54 pm</t>
  </si>
  <si>
    <t xml:space="preserve"> 9:14 pm</t>
  </si>
  <si>
    <t xml:space="preserve"> 6:53 pm</t>
  </si>
  <si>
    <t xml:space="preserve"> 8:47 am</t>
  </si>
  <si>
    <t>10:57 am</t>
  </si>
  <si>
    <t>10:28 pm</t>
  </si>
  <si>
    <t xml:space="preserve"> 4:03 pm</t>
  </si>
  <si>
    <t>11:30 am</t>
  </si>
  <si>
    <t>12:18 pm</t>
  </si>
  <si>
    <t xml:space="preserve"> 6:55 pm</t>
  </si>
  <si>
    <t xml:space="preserve"> 6:21 pm</t>
  </si>
  <si>
    <t>ORDER_NO.</t>
  </si>
  <si>
    <t>Sun</t>
  </si>
  <si>
    <t>Tue</t>
  </si>
  <si>
    <t>Wed</t>
  </si>
  <si>
    <t>Thu</t>
  </si>
  <si>
    <t>Sat</t>
  </si>
  <si>
    <t>Mon</t>
  </si>
  <si>
    <t>Fri</t>
  </si>
  <si>
    <t>Yatipertin</t>
  </si>
  <si>
    <t>Aciya</t>
  </si>
  <si>
    <t>Shailendra</t>
  </si>
  <si>
    <t>Shilpin</t>
  </si>
  <si>
    <t>Prithi</t>
  </si>
  <si>
    <t>M</t>
  </si>
  <si>
    <t>Chirag</t>
  </si>
  <si>
    <t>Sayani</t>
  </si>
  <si>
    <t>Maha</t>
  </si>
  <si>
    <t>Swagata</t>
  </si>
  <si>
    <t>Saravanan</t>
  </si>
  <si>
    <t>Narendra</t>
  </si>
  <si>
    <t>Soumya</t>
  </si>
  <si>
    <t>Chandni</t>
  </si>
  <si>
    <t>Parul</t>
  </si>
  <si>
    <t>Swati</t>
  </si>
  <si>
    <t>Shweta</t>
  </si>
  <si>
    <t>Roohi</t>
  </si>
  <si>
    <t>Chandrima</t>
  </si>
  <si>
    <t>Pallavi</t>
  </si>
  <si>
    <t>Rishugarg</t>
  </si>
  <si>
    <t>Anjali</t>
  </si>
  <si>
    <t>Kritika</t>
  </si>
  <si>
    <t>Amit</t>
  </si>
  <si>
    <t>Vvijayakakshmi</t>
  </si>
  <si>
    <t>Rohit</t>
  </si>
  <si>
    <t>Nandini</t>
  </si>
  <si>
    <t>Ongc</t>
  </si>
  <si>
    <t>Ria</t>
  </si>
  <si>
    <t>Vaishali</t>
  </si>
  <si>
    <t>Divya</t>
  </si>
  <si>
    <t>Veena</t>
  </si>
  <si>
    <t>Srisoma</t>
  </si>
  <si>
    <t>Anil</t>
  </si>
  <si>
    <t>Shashank</t>
  </si>
  <si>
    <t>Chandigarh</t>
  </si>
  <si>
    <t>Pasighat</t>
  </si>
  <si>
    <t>Devarakonda</t>
  </si>
  <si>
    <t>Mumbai</t>
  </si>
  <si>
    <t>Howrah</t>
  </si>
  <si>
    <t>Orai</t>
  </si>
  <si>
    <t>Bareilly</t>
  </si>
  <si>
    <t>Bengaluru</t>
  </si>
  <si>
    <t>Bhilai</t>
  </si>
  <si>
    <t>Faridabad</t>
  </si>
  <si>
    <t>Agartala</t>
  </si>
  <si>
    <t>Coonoor</t>
  </si>
  <si>
    <t>Pune</t>
  </si>
  <si>
    <t>Mantha</t>
  </si>
  <si>
    <t>Kolkata</t>
  </si>
  <si>
    <t>Mahalingpur</t>
  </si>
  <si>
    <t>Hyderabad</t>
  </si>
  <si>
    <t xml:space="preserve">Mumbai </t>
  </si>
  <si>
    <t>Cuttack</t>
  </si>
  <si>
    <t>Gurugram</t>
  </si>
  <si>
    <t>Jaleswar</t>
  </si>
  <si>
    <t>Visakhapatnam</t>
  </si>
  <si>
    <t>New Delhi</t>
  </si>
  <si>
    <t>Raia</t>
  </si>
  <si>
    <t>Bhubaneswar</t>
  </si>
  <si>
    <t>Jagdalpur</t>
  </si>
  <si>
    <t>Salem</t>
  </si>
  <si>
    <t>Jammu</t>
  </si>
  <si>
    <t>Ahmedabad</t>
  </si>
  <si>
    <t>Silchar</t>
  </si>
  <si>
    <t>Guwahati</t>
  </si>
  <si>
    <t>Ernakulam</t>
  </si>
  <si>
    <t>Karaikkudi</t>
  </si>
  <si>
    <t>Kodad</t>
  </si>
  <si>
    <t>Badlapur</t>
  </si>
  <si>
    <t>Surat</t>
  </si>
  <si>
    <t>Thane</t>
  </si>
  <si>
    <t>Pollachi</t>
  </si>
  <si>
    <t>Raipur</t>
  </si>
  <si>
    <t>Jalandhar</t>
  </si>
  <si>
    <t>Thisayanvilai</t>
  </si>
  <si>
    <t>Bidhan Nagar</t>
  </si>
  <si>
    <t>Tuticorin</t>
  </si>
  <si>
    <t>Jaipur</t>
  </si>
  <si>
    <t>Chennai</t>
  </si>
  <si>
    <t>Palai</t>
  </si>
  <si>
    <t>Korba</t>
  </si>
  <si>
    <t>Saharanpur</t>
  </si>
  <si>
    <t>Thamarassery</t>
  </si>
  <si>
    <t>Gautam Buddha Nagar</t>
  </si>
  <si>
    <t>Katwa</t>
  </si>
  <si>
    <t>Jodhpur</t>
  </si>
  <si>
    <t>Malda</t>
  </si>
  <si>
    <t>Noida</t>
  </si>
  <si>
    <t>Secunderabad</t>
  </si>
  <si>
    <t>Siwan</t>
  </si>
  <si>
    <t>Navi Mumbai</t>
  </si>
  <si>
    <t>Bardez</t>
  </si>
  <si>
    <t>Thane District</t>
  </si>
  <si>
    <t>Indore</t>
  </si>
  <si>
    <t>Ghaziabad</t>
  </si>
  <si>
    <t>Vadodara</t>
  </si>
  <si>
    <t>Punjab</t>
  </si>
  <si>
    <t>Amroha</t>
  </si>
  <si>
    <t>Lucknow</t>
  </si>
  <si>
    <t>Burdwan</t>
  </si>
  <si>
    <t>Kodambakkam Chennai</t>
  </si>
  <si>
    <t>Allahabad</t>
  </si>
  <si>
    <t>Bilimora</t>
  </si>
  <si>
    <t>Kanpur</t>
  </si>
  <si>
    <t>Solan</t>
  </si>
  <si>
    <t>Dehradun</t>
  </si>
  <si>
    <t>Durg</t>
  </si>
  <si>
    <t>Arunachal Pradesh</t>
  </si>
  <si>
    <t>Telangana</t>
  </si>
  <si>
    <t>West Bengal</t>
  </si>
  <si>
    <t>Uttar Pradesh</t>
  </si>
  <si>
    <t>Karnataka</t>
  </si>
  <si>
    <t>Chhattisgarh</t>
  </si>
  <si>
    <t>Haryana</t>
  </si>
  <si>
    <t>Tripura</t>
  </si>
  <si>
    <t>Tamil Nadu</t>
  </si>
  <si>
    <t>Delhi</t>
  </si>
  <si>
    <t>Goa</t>
  </si>
  <si>
    <t>Jammu &amp; Kashmir</t>
  </si>
  <si>
    <t>Gujarat</t>
  </si>
  <si>
    <t>Assam</t>
  </si>
  <si>
    <t>Kerala</t>
  </si>
  <si>
    <t>Rajasthan</t>
  </si>
  <si>
    <t>Chandigarh,</t>
  </si>
  <si>
    <t>Bihar</t>
  </si>
  <si>
    <t>Madhya Pradesh</t>
  </si>
  <si>
    <t>Mohali,</t>
  </si>
  <si>
    <t>Uttarakhand</t>
  </si>
  <si>
    <t>SKU</t>
  </si>
  <si>
    <t>449</t>
  </si>
  <si>
    <t>1099</t>
  </si>
  <si>
    <t>399</t>
  </si>
  <si>
    <t>649</t>
  </si>
  <si>
    <t>250</t>
  </si>
  <si>
    <t>549</t>
  </si>
  <si>
    <t>1299</t>
  </si>
  <si>
    <t>349</t>
  </si>
  <si>
    <t>898</t>
  </si>
  <si>
    <t>1347</t>
  </si>
  <si>
    <t>499</t>
  </si>
  <si>
    <t>475</t>
  </si>
  <si>
    <t>3897</t>
  </si>
  <si>
    <t>1499</t>
  </si>
  <si>
    <t>899</t>
  </si>
  <si>
    <t>1796</t>
  </si>
  <si>
    <t>400</t>
  </si>
  <si>
    <t>401</t>
  </si>
  <si>
    <t>402</t>
  </si>
  <si>
    <t>403</t>
  </si>
  <si>
    <t>404</t>
  </si>
  <si>
    <t>405</t>
  </si>
  <si>
    <t>406</t>
  </si>
  <si>
    <t>407</t>
  </si>
  <si>
    <t>408</t>
  </si>
  <si>
    <t>409</t>
  </si>
  <si>
    <t>410</t>
  </si>
  <si>
    <t>411</t>
  </si>
  <si>
    <t>412</t>
  </si>
  <si>
    <t>413</t>
  </si>
  <si>
    <t>414</t>
  </si>
  <si>
    <t>415</t>
  </si>
  <si>
    <t>416</t>
  </si>
  <si>
    <t>417</t>
  </si>
  <si>
    <t>418</t>
  </si>
  <si>
    <t>QUANTITY</t>
  </si>
  <si>
    <t>PREPAID</t>
  </si>
  <si>
    <t>COD</t>
  </si>
  <si>
    <t>Delivered</t>
  </si>
  <si>
    <t>Returned</t>
  </si>
  <si>
    <t>Sum of ITEM_TOTAL</t>
  </si>
  <si>
    <t>Grand Total</t>
  </si>
  <si>
    <t xml:space="preserve">Piggy coin bank </t>
  </si>
  <si>
    <t xml:space="preserve">Sling bag </t>
  </si>
  <si>
    <t xml:space="preserve">Handbag </t>
  </si>
  <si>
    <t>CATEGORY</t>
  </si>
  <si>
    <t xml:space="preserve">Shoulder bag, Handbag </t>
  </si>
  <si>
    <t xml:space="preserve">Lipstick cases, Jewelry box </t>
  </si>
  <si>
    <t xml:space="preserve">Jewelry box </t>
  </si>
  <si>
    <t xml:space="preserve">Clutch purse, Wallet </t>
  </si>
  <si>
    <t xml:space="preserve">Wallet </t>
  </si>
  <si>
    <t xml:space="preserve">Shoulder bag, </t>
  </si>
  <si>
    <t>CATEGORY1</t>
  </si>
  <si>
    <t>Row Labels</t>
  </si>
  <si>
    <t>ORDER_MONTH</t>
  </si>
  <si>
    <t>Jul</t>
  </si>
  <si>
    <t>Oct</t>
  </si>
  <si>
    <t>Nov</t>
  </si>
  <si>
    <t>Sep</t>
  </si>
  <si>
    <t>Jun</t>
  </si>
  <si>
    <t>Aug</t>
  </si>
  <si>
    <t>Feb</t>
  </si>
  <si>
    <t>Jan</t>
  </si>
  <si>
    <t>Dec</t>
  </si>
  <si>
    <t>Count of QUANTITY</t>
  </si>
  <si>
    <t>2022</t>
  </si>
  <si>
    <t>2021</t>
  </si>
  <si>
    <t>Total sales</t>
  </si>
  <si>
    <t>Total orders</t>
  </si>
  <si>
    <t>Total Quantity</t>
  </si>
  <si>
    <t>Avg order value</t>
  </si>
  <si>
    <t>Top Cities</t>
  </si>
  <si>
    <t>Top  states</t>
  </si>
  <si>
    <t>YEARS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</si>
</sst>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 #,##0.00;[Red]&quot;₹&quot;\ \-#,##0.00"/>
    <numFmt numFmtId="164" formatCode="0;[Red]0"/>
    <numFmt numFmtId="165" formatCode="&quot;₹&quot;\ #,##0;[Red]&quot;₹&quot;\ #,##0"/>
    <numFmt numFmtId="166" formatCode="[$-10409]h\.mm\.ss\ AM/PM;@"/>
  </numFmts>
  <fonts count="5" x14ac:knownFonts="1">
    <font>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0">
    <xf numFmtId="0" fontId="0" fillId="0" borderId="0" xfId="0"/>
    <xf numFmtId="49" fontId="1" fillId="0" borderId="0" xfId="1" applyNumberFormat="1"/>
    <xf numFmtId="49" fontId="1" fillId="0" borderId="0" xfId="1" applyNumberFormat="1"/>
    <xf numFmtId="49" fontId="2" fillId="0" borderId="0" xfId="1" applyNumberFormat="1" applyFont="1"/>
    <xf numFmtId="14" fontId="2" fillId="0" borderId="0" xfId="1" applyNumberFormat="1" applyFont="1"/>
    <xf numFmtId="14" fontId="1" fillId="0" borderId="0" xfId="1" applyNumberFormat="1"/>
    <xf numFmtId="49" fontId="2" fillId="0" borderId="0" xfId="1" applyNumberFormat="1" applyFont="1" applyFill="1"/>
    <xf numFmtId="14" fontId="0" fillId="0" borderId="0" xfId="0" applyNumberFormat="1"/>
    <xf numFmtId="4" fontId="2" fillId="0" borderId="0" xfId="1" applyNumberFormat="1" applyFont="1"/>
    <xf numFmtId="4" fontId="1" fillId="0" borderId="0" xfId="1" applyNumberFormat="1"/>
    <xf numFmtId="4" fontId="0" fillId="0" borderId="0" xfId="0" applyNumberFormat="1"/>
    <xf numFmtId="0" fontId="1" fillId="0" borderId="0" xfId="1" applyNumberFormat="1"/>
    <xf numFmtId="2" fontId="1" fillId="0" borderId="0" xfId="1" applyNumberFormat="1"/>
    <xf numFmtId="8" fontId="1" fillId="0" borderId="0" xfId="1" applyNumberFormat="1"/>
    <xf numFmtId="2" fontId="0" fillId="0" borderId="0" xfId="0" applyNumberFormat="1"/>
    <xf numFmtId="14" fontId="2" fillId="0" borderId="0" xfId="1" applyNumberFormat="1" applyFont="1" applyFill="1"/>
    <xf numFmtId="0" fontId="3" fillId="0" borderId="0" xfId="0" applyFont="1"/>
    <xf numFmtId="0" fontId="2" fillId="0" borderId="0" xfId="1" applyNumberFormat="1" applyFont="1"/>
    <xf numFmtId="0" fontId="0" fillId="0" borderId="0" xfId="0" applyNumberFormat="1"/>
    <xf numFmtId="1" fontId="2" fillId="0" borderId="0" xfId="1" applyNumberFormat="1" applyFont="1"/>
    <xf numFmtId="1" fontId="1" fillId="0" borderId="0" xfId="1" applyNumberFormat="1"/>
    <xf numFmtId="1" fontId="0" fillId="0" borderId="0" xfId="0" applyNumberFormat="1"/>
    <xf numFmtId="0" fontId="2" fillId="0" borderId="0" xfId="0" applyFont="1"/>
    <xf numFmtId="0" fontId="1" fillId="0" borderId="0" xfId="0" applyFont="1"/>
    <xf numFmtId="164" fontId="3" fillId="0" borderId="0" xfId="0" applyNumberFormat="1" applyFont="1"/>
    <xf numFmtId="164" fontId="0" fillId="0" borderId="0" xfId="0" applyNumberFormat="1"/>
    <xf numFmtId="164" fontId="2" fillId="0" borderId="0" xfId="0" applyNumberFormat="1" applyFont="1"/>
    <xf numFmtId="164" fontId="1" fillId="0" borderId="0" xfId="0" applyNumberFormat="1" applyFont="1"/>
    <xf numFmtId="2" fontId="1" fillId="0" borderId="0" xfId="0" applyNumberFormat="1" applyFont="1"/>
    <xf numFmtId="0" fontId="1" fillId="0" borderId="0" xfId="0" applyNumberFormat="1" applyFont="1"/>
    <xf numFmtId="0" fontId="0" fillId="0" borderId="0" xfId="0" pivotButton="1"/>
    <xf numFmtId="0" fontId="0" fillId="0" borderId="0" xfId="0" applyAlignment="1">
      <alignment horizontal="left"/>
    </xf>
    <xf numFmtId="0" fontId="0" fillId="0" borderId="0" xfId="0" applyFont="1"/>
    <xf numFmtId="49" fontId="1" fillId="0" borderId="0" xfId="1" applyNumberFormat="1" applyFill="1"/>
    <xf numFmtId="0" fontId="1" fillId="0" borderId="0" xfId="1" applyNumberFormat="1" applyFill="1"/>
    <xf numFmtId="1" fontId="1" fillId="0" borderId="0" xfId="1" applyNumberFormat="1" applyFill="1"/>
    <xf numFmtId="0" fontId="4" fillId="0" borderId="0" xfId="0" applyFont="1"/>
    <xf numFmtId="165" fontId="0" fillId="0" borderId="0" xfId="0" applyNumberFormat="1"/>
    <xf numFmtId="166" fontId="2" fillId="0" borderId="0" xfId="0" applyNumberFormat="1" applyFont="1"/>
    <xf numFmtId="166" fontId="1" fillId="0" borderId="0" xfId="0" applyNumberFormat="1" applyFont="1"/>
  </cellXfs>
  <cellStyles count="2">
    <cellStyle name="Normal" xfId="0" builtinId="0"/>
    <cellStyle name="Normal 2" xfId="1"/>
  </cellStyles>
  <dxfs count="18">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numFmt numFmtId="164" formatCode="0;[Red]0"/>
    </dxf>
    <dxf>
      <font>
        <b val="0"/>
        <i val="0"/>
        <strike val="0"/>
        <condense val="0"/>
        <extend val="0"/>
        <outline val="0"/>
        <shadow val="0"/>
        <u val="none"/>
        <vertAlign val="baseline"/>
        <sz val="12"/>
        <color theme="1"/>
        <name val="Calibri"/>
        <scheme val="minor"/>
      </font>
      <numFmt numFmtId="2" formatCode="0.00"/>
    </dxf>
    <dxf>
      <numFmt numFmtId="1" formatCode="0"/>
    </dxf>
    <dxf>
      <numFmt numFmtId="30" formatCode="@"/>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numFmt numFmtId="0" formatCode="General"/>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numFmt numFmtId="166" formatCode="[$-10409]h\.mm\.ss\ AM/PM;@"/>
    </dxf>
    <dxf>
      <numFmt numFmtId="19" formatCode="dd/mm/yyyy"/>
    </dxf>
    <dxf>
      <numFmt numFmtId="30" formatCode="@"/>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41719C"/>
      <color rgb="FF3366FF"/>
      <color rgb="FF66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[amazon_sales_analysis_dashboard.xlsx]Pivot data!PivotTable7</c:name>
    <c:fmtId val="0"/>
  </c:pivotSource>
  <c:chart>
    <c:autoTitleDeleted val="1"/>
    <c:pivotFmts>
      <c:pivotFmt>
        <c:idx val="0"/>
        <c:marker>
          <c:symbol val="none"/>
        </c:marker>
        <c:dLbl>
          <c:idx val="0"/>
          <c:numFmt formatCode="&quot;₹&quot;\ #,##0" sourceLinked="0"/>
          <c:spPr>
            <a:solidFill>
              <a:schemeClr val="accent1">
                <a:lumMod val="60000"/>
                <a:lumOff val="40000"/>
              </a:schemeClr>
            </a:solidFill>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'Pivot data'!$E$8</c:f>
              <c:strCache>
                <c:ptCount val="1"/>
                <c:pt idx="0">
                  <c:v>Total</c:v>
                </c:pt>
              </c:strCache>
            </c:strRef>
          </c:tx>
          <c:invertIfNegative val="0"/>
          <c:dLbls>
            <c:numFmt formatCode="&quot;₹&quot;\ #,##0" sourceLinked="0"/>
            <c:spPr>
              <a:solidFill>
                <a:schemeClr val="accent1">
                  <a:lumMod val="60000"/>
                  <a:lumOff val="40000"/>
                </a:schemeClr>
              </a:solidFill>
            </c:spPr>
            <c:txPr>
              <a:bodyPr/>
              <a:lstStyle/>
              <a:p>
                <a:pPr>
                  <a:defRPr/>
                </a:pPr>
                <a:endParaRPr lang="en-US"/>
              </a:p>
            </c:txPr>
            <c:showLegendKey val="0"/>
            <c:showVal val="1"/>
            <c:showCatName val="0"/>
            <c:showSerName val="0"/>
            <c:showPercent val="0"/>
            <c:showBubbleSize val="0"/>
            <c:showLeaderLines val="0"/>
          </c:dLbls>
          <c:cat>
            <c:strRef>
              <c:f>'Pivot data'!$D$9:$D$14</c:f>
              <c:strCache>
                <c:ptCount val="5"/>
                <c:pt idx="0">
                  <c:v>Maharashtra</c:v>
                </c:pt>
                <c:pt idx="1">
                  <c:v>West Bengal</c:v>
                </c:pt>
                <c:pt idx="2">
                  <c:v>Tamil Nadu</c:v>
                </c:pt>
                <c:pt idx="3">
                  <c:v>Karnataka</c:v>
                </c:pt>
                <c:pt idx="4">
                  <c:v>Uttar Pradesh</c:v>
                </c:pt>
              </c:strCache>
            </c:strRef>
          </c:cat>
          <c:val>
            <c:numRef>
              <c:f>'Pivot data'!$E$9:$E$14</c:f>
              <c:numCache>
                <c:formatCode>"₹"\ #,##0;[Red]"₹"\ #,##0</c:formatCode>
                <c:ptCount val="5"/>
                <c:pt idx="0">
                  <c:v>17575</c:v>
                </c:pt>
                <c:pt idx="1">
                  <c:v>14339</c:v>
                </c:pt>
                <c:pt idx="2">
                  <c:v>11245</c:v>
                </c:pt>
                <c:pt idx="3">
                  <c:v>7023</c:v>
                </c:pt>
                <c:pt idx="4">
                  <c:v>4651</c:v>
                </c:pt>
              </c:numCache>
            </c:numRef>
          </c:val>
        </c:ser>
        <c:dLbls>
          <c:showLegendKey val="0"/>
          <c:showVal val="0"/>
          <c:showCatName val="0"/>
          <c:showSerName val="0"/>
          <c:showPercent val="0"/>
          <c:showBubbleSize val="0"/>
        </c:dLbls>
        <c:gapWidth val="150"/>
        <c:axId val="231537280"/>
        <c:axId val="231350656"/>
      </c:barChart>
      <c:catAx>
        <c:axId val="231537280"/>
        <c:scaling>
          <c:orientation val="minMax"/>
        </c:scaling>
        <c:delete val="0"/>
        <c:axPos val="b"/>
        <c:majorTickMark val="out"/>
        <c:minorTickMark val="none"/>
        <c:tickLblPos val="nextTo"/>
        <c:crossAx val="231350656"/>
        <c:crosses val="autoZero"/>
        <c:auto val="1"/>
        <c:lblAlgn val="ctr"/>
        <c:lblOffset val="100"/>
        <c:noMultiLvlLbl val="0"/>
      </c:catAx>
      <c:valAx>
        <c:axId val="231350656"/>
        <c:scaling>
          <c:orientation val="minMax"/>
        </c:scaling>
        <c:delete val="1"/>
        <c:axPos val="l"/>
        <c:numFmt formatCode="&quot;₹&quot;\ #,##0;[Red]&quot;₹&quot;\ #,##0" sourceLinked="1"/>
        <c:majorTickMark val="out"/>
        <c:minorTickMark val="none"/>
        <c:tickLblPos val="nextTo"/>
        <c:crossAx val="231537280"/>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[amazon_sales_analysis_dashboard.xlsx]Pivot data!PivotTable12</c:name>
    <c:fmtId val="3"/>
  </c:pivotSource>
  <c:chart>
    <c:autoTitleDeleted val="1"/>
    <c:pivotFmts>
      <c:pivotFmt>
        <c:idx val="0"/>
        <c:marker>
          <c:symbol val="none"/>
        </c:marker>
        <c:dLbl>
          <c:idx val="0"/>
          <c:numFmt formatCode="&quot;₹&quot;\ #,##0;[Red]&quot;₹&quot;\ #,##0" sourceLinked="0"/>
          <c:spPr>
            <a:solidFill>
              <a:schemeClr val="accent1">
                <a:lumMod val="60000"/>
                <a:lumOff val="40000"/>
              </a:schemeClr>
            </a:solidFill>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 data'!$H$20</c:f>
              <c:strCache>
                <c:ptCount val="1"/>
                <c:pt idx="0">
                  <c:v>Total</c:v>
                </c:pt>
              </c:strCache>
            </c:strRef>
          </c:tx>
          <c:invertIfNegative val="0"/>
          <c:dLbls>
            <c:numFmt formatCode="&quot;₹&quot;\ #,##0;[Red]&quot;₹&quot;\ #,##0" sourceLinked="0"/>
            <c:spPr>
              <a:solidFill>
                <a:schemeClr val="accent1">
                  <a:lumMod val="60000"/>
                  <a:lumOff val="40000"/>
                </a:schemeClr>
              </a:solidFill>
            </c:spPr>
            <c:txPr>
              <a:bodyPr/>
              <a:lstStyle/>
              <a:p>
                <a:pPr>
                  <a:defRPr/>
                </a:pPr>
                <a:endParaRPr lang="en-US"/>
              </a:p>
            </c:txPr>
            <c:showLegendKey val="0"/>
            <c:showVal val="1"/>
            <c:showCatName val="0"/>
            <c:showSerName val="0"/>
            <c:showPercent val="0"/>
            <c:showBubbleSize val="0"/>
            <c:showLeaderLines val="0"/>
          </c:dLbls>
          <c:cat>
            <c:strRef>
              <c:f>'Pivot data'!$G$21:$G$30</c:f>
              <c:strCache>
                <c:ptCount val="9"/>
                <c:pt idx="0">
                  <c:v>Piggy coin bank </c:v>
                </c:pt>
                <c:pt idx="1">
                  <c:v>Lipstick cases, Jewelry box </c:v>
                </c:pt>
                <c:pt idx="2">
                  <c:v>Shoulder bag, Handbag </c:v>
                </c:pt>
                <c:pt idx="3">
                  <c:v>Jewelry box </c:v>
                </c:pt>
                <c:pt idx="4">
                  <c:v>Clutch purse, Wallet </c:v>
                </c:pt>
                <c:pt idx="5">
                  <c:v>Sling bag </c:v>
                </c:pt>
                <c:pt idx="6">
                  <c:v>Shoulder bag, </c:v>
                </c:pt>
                <c:pt idx="7">
                  <c:v>Wallet </c:v>
                </c:pt>
                <c:pt idx="8">
                  <c:v>Handbag </c:v>
                </c:pt>
              </c:strCache>
            </c:strRef>
          </c:cat>
          <c:val>
            <c:numRef>
              <c:f>'Pivot data'!$H$21:$H$30</c:f>
              <c:numCache>
                <c:formatCode>"₹"\ #,##0;[Red]"₹"\ #,##0</c:formatCode>
                <c:ptCount val="9"/>
                <c:pt idx="0">
                  <c:v>22292</c:v>
                </c:pt>
                <c:pt idx="1">
                  <c:v>16560</c:v>
                </c:pt>
                <c:pt idx="2">
                  <c:v>16208</c:v>
                </c:pt>
                <c:pt idx="3">
                  <c:v>13583</c:v>
                </c:pt>
                <c:pt idx="4">
                  <c:v>8293</c:v>
                </c:pt>
                <c:pt idx="5">
                  <c:v>5252</c:v>
                </c:pt>
                <c:pt idx="6">
                  <c:v>2998</c:v>
                </c:pt>
                <c:pt idx="7">
                  <c:v>2783</c:v>
                </c:pt>
                <c:pt idx="8">
                  <c:v>899</c:v>
                </c:pt>
              </c:numCache>
            </c:numRef>
          </c:val>
        </c:ser>
        <c:dLbls>
          <c:showLegendKey val="0"/>
          <c:showVal val="0"/>
          <c:showCatName val="0"/>
          <c:showSerName val="0"/>
          <c:showPercent val="0"/>
          <c:showBubbleSize val="0"/>
        </c:dLbls>
        <c:gapWidth val="150"/>
        <c:axId val="231502208"/>
        <c:axId val="231503744"/>
      </c:barChart>
      <c:catAx>
        <c:axId val="231502208"/>
        <c:scaling>
          <c:orientation val="minMax"/>
        </c:scaling>
        <c:delete val="0"/>
        <c:axPos val="l"/>
        <c:majorTickMark val="out"/>
        <c:minorTickMark val="none"/>
        <c:tickLblPos val="nextTo"/>
        <c:crossAx val="231503744"/>
        <c:crosses val="autoZero"/>
        <c:auto val="1"/>
        <c:lblAlgn val="ctr"/>
        <c:lblOffset val="100"/>
        <c:noMultiLvlLbl val="0"/>
      </c:catAx>
      <c:valAx>
        <c:axId val="231503744"/>
        <c:scaling>
          <c:orientation val="minMax"/>
        </c:scaling>
        <c:delete val="1"/>
        <c:axPos val="b"/>
        <c:numFmt formatCode="&quot;₹&quot;\ #,##0;[Red]&quot;₹&quot;\ #,##0" sourceLinked="1"/>
        <c:majorTickMark val="out"/>
        <c:minorTickMark val="none"/>
        <c:tickLblPos val="nextTo"/>
        <c:crossAx val="231502208"/>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[amazon_sales_analysis_dashboard.xlsx]Pivot data!PivotTable8</c:name>
    <c:fmtId val="2"/>
  </c:pivotSource>
  <c:chart>
    <c:autoTitleDeleted val="1"/>
    <c:pivotFmts>
      <c:pivotFmt>
        <c:idx val="0"/>
        <c:dLbl>
          <c:idx val="0"/>
          <c:spPr>
            <a:solidFill>
              <a:schemeClr val="accent1">
                <a:lumMod val="60000"/>
                <a:lumOff val="40000"/>
              </a:schemeClr>
            </a:solidFill>
          </c:spPr>
          <c:txPr>
            <a:bodyPr/>
            <a:lstStyle/>
            <a:p>
              <a:pPr>
                <a:defRPr/>
              </a:pPr>
              <a:endParaRPr lang="en-US"/>
            </a:p>
          </c:txPr>
          <c:dLblPos val="t"/>
          <c:showLegendKey val="0"/>
          <c:showVal val="1"/>
          <c:showCatName val="0"/>
          <c:showSerName val="0"/>
          <c:showPercent val="0"/>
          <c:showBubbleSize val="0"/>
        </c:dLbl>
      </c:pivotFmt>
    </c:pivotFmts>
    <c:plotArea>
      <c:layout/>
      <c:lineChart>
        <c:grouping val="stacked"/>
        <c:varyColors val="0"/>
        <c:ser>
          <c:idx val="0"/>
          <c:order val="0"/>
          <c:tx>
            <c:strRef>
              <c:f>'Pivot data'!$H$8</c:f>
              <c:strCache>
                <c:ptCount val="1"/>
                <c:pt idx="0">
                  <c:v>Total</c:v>
                </c:pt>
              </c:strCache>
            </c:strRef>
          </c:tx>
          <c:dLbls>
            <c:spPr>
              <a:solidFill>
                <a:schemeClr val="accent1">
                  <a:lumMod val="60000"/>
                  <a:lumOff val="40000"/>
                </a:schemeClr>
              </a:solidFill>
            </c:spPr>
            <c:txPr>
              <a:bodyPr/>
              <a:lstStyle/>
              <a:p>
                <a:pPr>
                  <a:defRPr/>
                </a:pPr>
                <a:endParaRPr lang="en-US"/>
              </a:p>
            </c:txPr>
            <c:dLblPos val="t"/>
            <c:showLegendKey val="0"/>
            <c:showVal val="1"/>
            <c:showCatName val="0"/>
            <c:showSerName val="0"/>
            <c:showPercent val="0"/>
            <c:showBubbleSize val="0"/>
            <c:showLeaderLines val="0"/>
          </c:dLbls>
          <c:cat>
            <c:strRef>
              <c:f>'Pivot data'!$G$9:$G$18</c:f>
              <c:strCache>
                <c:ptCount val="9"/>
                <c:pt idx="0">
                  <c:v>Jan</c:v>
                </c:pt>
                <c:pt idx="1">
                  <c:v>Feb</c:v>
                </c:pt>
                <c:pt idx="2">
                  <c:v>Jun</c:v>
                </c:pt>
                <c:pt idx="3">
                  <c:v>Jul</c:v>
                </c:pt>
                <c:pt idx="4">
                  <c:v>Aug</c:v>
                </c:pt>
                <c:pt idx="5">
                  <c:v>Sep</c:v>
                </c:pt>
                <c:pt idx="6">
                  <c:v>Oct</c:v>
                </c:pt>
                <c:pt idx="7">
                  <c:v>Nov</c:v>
                </c:pt>
                <c:pt idx="8">
                  <c:v>Dec</c:v>
                </c:pt>
              </c:strCache>
            </c:strRef>
          </c:cat>
          <c:val>
            <c:numRef>
              <c:f>'Pivot data'!$H$9:$H$18</c:f>
              <c:numCache>
                <c:formatCode>General</c:formatCode>
                <c:ptCount val="9"/>
                <c:pt idx="0">
                  <c:v>19</c:v>
                </c:pt>
                <c:pt idx="1">
                  <c:v>13</c:v>
                </c:pt>
                <c:pt idx="2">
                  <c:v>8</c:v>
                </c:pt>
                <c:pt idx="3">
                  <c:v>7</c:v>
                </c:pt>
                <c:pt idx="4">
                  <c:v>13</c:v>
                </c:pt>
                <c:pt idx="5">
                  <c:v>18</c:v>
                </c:pt>
                <c:pt idx="6">
                  <c:v>27</c:v>
                </c:pt>
                <c:pt idx="7">
                  <c:v>29</c:v>
                </c:pt>
                <c:pt idx="8">
                  <c:v>37</c:v>
                </c:pt>
              </c:numCache>
            </c:numRef>
          </c:val>
          <c:smooth val="0"/>
        </c:ser>
        <c:dLbls>
          <c:showLegendKey val="0"/>
          <c:showVal val="0"/>
          <c:showCatName val="0"/>
          <c:showSerName val="0"/>
          <c:showPercent val="0"/>
          <c:showBubbleSize val="0"/>
        </c:dLbls>
        <c:marker val="1"/>
        <c:smooth val="0"/>
        <c:axId val="231520128"/>
        <c:axId val="231521664"/>
      </c:lineChart>
      <c:catAx>
        <c:axId val="231520128"/>
        <c:scaling>
          <c:orientation val="minMax"/>
        </c:scaling>
        <c:delete val="0"/>
        <c:axPos val="b"/>
        <c:majorTickMark val="out"/>
        <c:minorTickMark val="none"/>
        <c:tickLblPos val="nextTo"/>
        <c:crossAx val="231521664"/>
        <c:crosses val="autoZero"/>
        <c:auto val="1"/>
        <c:lblAlgn val="ctr"/>
        <c:lblOffset val="100"/>
        <c:noMultiLvlLbl val="0"/>
      </c:catAx>
      <c:valAx>
        <c:axId val="231521664"/>
        <c:scaling>
          <c:orientation val="minMax"/>
        </c:scaling>
        <c:delete val="1"/>
        <c:axPos val="l"/>
        <c:numFmt formatCode="General" sourceLinked="1"/>
        <c:majorTickMark val="out"/>
        <c:minorTickMark val="none"/>
        <c:tickLblPos val="nextTo"/>
        <c:crossAx val="231520128"/>
        <c:crosses val="autoZero"/>
        <c:crossBetween val="between"/>
      </c:valAx>
      <c:spPr>
        <a:noFill/>
        <a:ln w="25400">
          <a:noFill/>
        </a:ln>
      </c:spPr>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7"/>
    </mc:Choice>
    <mc:Fallback>
      <c:style val="7"/>
    </mc:Fallback>
  </mc:AlternateContent>
  <c:pivotSource>
    <c:name>[amazon_sales_analysis_dashboard.xlsx]Pivot data!PivotTable10</c:name>
    <c:fmtId val="0"/>
  </c:pivotSource>
  <c:chart>
    <c:autoTitleDeleted val="1"/>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s>
    <c:plotArea>
      <c:layout/>
      <c:doughnutChart>
        <c:varyColors val="1"/>
        <c:ser>
          <c:idx val="0"/>
          <c:order val="0"/>
          <c:tx>
            <c:strRef>
              <c:f>'Pivot data'!$K$8</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'Pivot data'!$J$9:$J$11</c:f>
              <c:strCache>
                <c:ptCount val="2"/>
                <c:pt idx="0">
                  <c:v>COD</c:v>
                </c:pt>
                <c:pt idx="1">
                  <c:v>PREPAID</c:v>
                </c:pt>
              </c:strCache>
            </c:strRef>
          </c:cat>
          <c:val>
            <c:numRef>
              <c:f>'Pivot data'!$K$9:$K$11</c:f>
              <c:numCache>
                <c:formatCode>General</c:formatCode>
                <c:ptCount val="2"/>
                <c:pt idx="0">
                  <c:v>21664</c:v>
                </c:pt>
                <c:pt idx="1">
                  <c:v>67204</c:v>
                </c:pt>
              </c:numCache>
            </c:numRef>
          </c:val>
        </c:ser>
        <c:dLbls>
          <c:showLegendKey val="0"/>
          <c:showVal val="0"/>
          <c:showCatName val="0"/>
          <c:showSerName val="0"/>
          <c:showPercent val="0"/>
          <c:showBubbleSize val="0"/>
          <c:showLeaderLines val="1"/>
        </c:dLbls>
        <c:firstSliceAng val="0"/>
        <c:holeSize val="50"/>
      </c:doughnut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7"/>
    </mc:Choice>
    <mc:Fallback>
      <c:style val="7"/>
    </mc:Fallback>
  </mc:AlternateContent>
  <c:pivotSource>
    <c:name>[amazon_sales_analysis_dashboard.xlsx]Pivot data!PivotTable11</c:name>
    <c:fmtId val="0"/>
  </c:pivotSource>
  <c:chart>
    <c:autoTitleDeleted val="1"/>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s>
    <c:plotArea>
      <c:layout/>
      <c:doughnutChart>
        <c:varyColors val="1"/>
        <c:ser>
          <c:idx val="0"/>
          <c:order val="0"/>
          <c:tx>
            <c:strRef>
              <c:f>'Pivot data'!$K$14</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dLbls>
          <c:cat>
            <c:strRef>
              <c:f>'Pivot data'!$J$15:$J$17</c:f>
              <c:strCache>
                <c:ptCount val="2"/>
                <c:pt idx="0">
                  <c:v>Delivered</c:v>
                </c:pt>
                <c:pt idx="1">
                  <c:v>Returned</c:v>
                </c:pt>
              </c:strCache>
            </c:strRef>
          </c:cat>
          <c:val>
            <c:numRef>
              <c:f>'Pivot data'!$K$15:$K$17</c:f>
              <c:numCache>
                <c:formatCode>General</c:formatCode>
                <c:ptCount val="2"/>
                <c:pt idx="0">
                  <c:v>160</c:v>
                </c:pt>
                <c:pt idx="1">
                  <c:v>11</c:v>
                </c:pt>
              </c:numCache>
            </c:numRef>
          </c:val>
        </c:ser>
        <c:dLbls>
          <c:showLegendKey val="0"/>
          <c:showVal val="0"/>
          <c:showCatName val="0"/>
          <c:showSerName val="0"/>
          <c:showPercent val="0"/>
          <c:showBubbleSize val="0"/>
          <c:showLeaderLines val="1"/>
        </c:dLbls>
        <c:firstSliceAng val="0"/>
        <c:holeSize val="50"/>
      </c:doughnut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[amazon_sales_analysis_dashboard.xlsx]Pivot data!PivotTable9</c:name>
    <c:fmtId val="0"/>
  </c:pivotSource>
  <c:chart>
    <c:autoTitleDeleted val="1"/>
    <c:pivotFmts>
      <c:pivotFmt>
        <c:idx val="0"/>
        <c:marker>
          <c:symbol val="none"/>
        </c:marker>
      </c:pivotFmt>
    </c:pivotFmts>
    <c:plotArea>
      <c:layout/>
      <c:barChart>
        <c:barDir val="col"/>
        <c:grouping val="clustered"/>
        <c:varyColors val="0"/>
        <c:ser>
          <c:idx val="0"/>
          <c:order val="0"/>
          <c:tx>
            <c:strRef>
              <c:f>'Pivot data'!$K$2</c:f>
              <c:strCache>
                <c:ptCount val="1"/>
                <c:pt idx="0">
                  <c:v>Total</c:v>
                </c:pt>
              </c:strCache>
            </c:strRef>
          </c:tx>
          <c:invertIfNegative val="0"/>
          <c:cat>
            <c:strRef>
              <c:f>'Pivot data'!$J$3:$J$5</c:f>
              <c:strCache>
                <c:ptCount val="2"/>
                <c:pt idx="0">
                  <c:v>2021</c:v>
                </c:pt>
                <c:pt idx="1">
                  <c:v>2022</c:v>
                </c:pt>
              </c:strCache>
            </c:strRef>
          </c:cat>
          <c:val>
            <c:numRef>
              <c:f>'Pivot data'!$K$3:$K$5</c:f>
              <c:numCache>
                <c:formatCode>"₹"\ #,##0;[Red]"₹"\ #,##0</c:formatCode>
                <c:ptCount val="2"/>
                <c:pt idx="0">
                  <c:v>74142</c:v>
                </c:pt>
                <c:pt idx="1">
                  <c:v>14726</c:v>
                </c:pt>
              </c:numCache>
            </c:numRef>
          </c:val>
        </c:ser>
        <c:dLbls>
          <c:showLegendKey val="0"/>
          <c:showVal val="0"/>
          <c:showCatName val="0"/>
          <c:showSerName val="0"/>
          <c:showPercent val="0"/>
          <c:showBubbleSize val="0"/>
        </c:dLbls>
        <c:gapWidth val="150"/>
        <c:axId val="231911808"/>
        <c:axId val="231913344"/>
      </c:barChart>
      <c:catAx>
        <c:axId val="231911808"/>
        <c:scaling>
          <c:orientation val="minMax"/>
        </c:scaling>
        <c:delete val="0"/>
        <c:axPos val="b"/>
        <c:majorTickMark val="out"/>
        <c:minorTickMark val="none"/>
        <c:tickLblPos val="nextTo"/>
        <c:crossAx val="231913344"/>
        <c:crosses val="autoZero"/>
        <c:auto val="1"/>
        <c:lblAlgn val="ctr"/>
        <c:lblOffset val="100"/>
        <c:noMultiLvlLbl val="0"/>
      </c:catAx>
      <c:valAx>
        <c:axId val="231913344"/>
        <c:scaling>
          <c:orientation val="minMax"/>
        </c:scaling>
        <c:delete val="1"/>
        <c:axPos val="l"/>
        <c:numFmt formatCode="&quot;₹&quot;\ #,##0;[Red]&quot;₹&quot;\ #,##0" sourceLinked="1"/>
        <c:majorTickMark val="out"/>
        <c:minorTickMark val="none"/>
        <c:tickLblPos val="nextTo"/>
        <c:crossAx val="231911808"/>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[amazon_sales_analysis_dashboard.xlsx]Pivot data!PivotTable9</c:name>
    <c:fmtId val="2"/>
  </c:pivotSource>
  <c:chart>
    <c:autoTitleDeleted val="1"/>
    <c:pivotFmts>
      <c:pivotFmt>
        <c:idx val="0"/>
        <c:marker>
          <c:symbol val="none"/>
        </c:marker>
      </c:pivotFmt>
      <c:pivotFmt>
        <c:idx val="1"/>
        <c:marker>
          <c:symbol val="none"/>
        </c:marker>
      </c:pivotFmt>
      <c:pivotFmt>
        <c:idx val="2"/>
        <c:spPr>
          <a:solidFill>
            <a:schemeClr val="bg1"/>
          </a:solidFill>
        </c:spPr>
        <c:marker>
          <c:symbol val="none"/>
        </c:marker>
        <c:dLbl>
          <c:idx val="0"/>
          <c:layout/>
          <c:numFmt formatCode="&quot;₹&quot;\ #,##0" sourceLinked="0"/>
          <c:spPr>
            <a:noFill/>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'Pivot data'!$K$2</c:f>
              <c:strCache>
                <c:ptCount val="1"/>
                <c:pt idx="0">
                  <c:v>Total</c:v>
                </c:pt>
              </c:strCache>
            </c:strRef>
          </c:tx>
          <c:spPr>
            <a:solidFill>
              <a:schemeClr val="bg1"/>
            </a:solidFill>
          </c:spPr>
          <c:invertIfNegative val="0"/>
          <c:dLbls>
            <c:numFmt formatCode="&quot;₹&quot;\ #,##0" sourceLinked="0"/>
            <c:spPr>
              <a:noFill/>
            </c:spPr>
            <c:txPr>
              <a:bodyPr/>
              <a:lstStyle/>
              <a:p>
                <a:pPr>
                  <a:defRPr/>
                </a:pPr>
                <a:endParaRPr lang="en-US"/>
              </a:p>
            </c:txPr>
            <c:showLegendKey val="0"/>
            <c:showVal val="1"/>
            <c:showCatName val="0"/>
            <c:showSerName val="0"/>
            <c:showPercent val="0"/>
            <c:showBubbleSize val="0"/>
            <c:showLeaderLines val="0"/>
          </c:dLbls>
          <c:cat>
            <c:strRef>
              <c:f>'Pivot data'!$J$3:$J$5</c:f>
              <c:strCache>
                <c:ptCount val="2"/>
                <c:pt idx="0">
                  <c:v>2021</c:v>
                </c:pt>
                <c:pt idx="1">
                  <c:v>2022</c:v>
                </c:pt>
              </c:strCache>
            </c:strRef>
          </c:cat>
          <c:val>
            <c:numRef>
              <c:f>'Pivot data'!$K$3:$K$5</c:f>
              <c:numCache>
                <c:formatCode>"₹"\ #,##0;[Red]"₹"\ #,##0</c:formatCode>
                <c:ptCount val="2"/>
                <c:pt idx="0">
                  <c:v>74142</c:v>
                </c:pt>
                <c:pt idx="1">
                  <c:v>14726</c:v>
                </c:pt>
              </c:numCache>
            </c:numRef>
          </c:val>
        </c:ser>
        <c:dLbls>
          <c:showLegendKey val="0"/>
          <c:showVal val="0"/>
          <c:showCatName val="0"/>
          <c:showSerName val="0"/>
          <c:showPercent val="0"/>
          <c:showBubbleSize val="0"/>
        </c:dLbls>
        <c:gapWidth val="150"/>
        <c:axId val="211152256"/>
        <c:axId val="230749312"/>
      </c:barChart>
      <c:catAx>
        <c:axId val="211152256"/>
        <c:scaling>
          <c:orientation val="minMax"/>
        </c:scaling>
        <c:delete val="0"/>
        <c:axPos val="b"/>
        <c:majorTickMark val="out"/>
        <c:minorTickMark val="none"/>
        <c:tickLblPos val="nextTo"/>
        <c:crossAx val="230749312"/>
        <c:crosses val="autoZero"/>
        <c:auto val="1"/>
        <c:lblAlgn val="ctr"/>
        <c:lblOffset val="100"/>
        <c:noMultiLvlLbl val="0"/>
      </c:catAx>
      <c:valAx>
        <c:axId val="230749312"/>
        <c:scaling>
          <c:orientation val="minMax"/>
        </c:scaling>
        <c:delete val="1"/>
        <c:axPos val="l"/>
        <c:numFmt formatCode="&quot;₹&quot;\ #,##0;[Red]&quot;₹&quot;\ #,##0" sourceLinked="1"/>
        <c:majorTickMark val="out"/>
        <c:minorTickMark val="none"/>
        <c:tickLblPos val="nextTo"/>
        <c:crossAx val="211152256"/>
        <c:crosses val="autoZero"/>
        <c:crossBetween val="between"/>
      </c:valAx>
      <c:spPr>
        <a:solidFill>
          <a:schemeClr val="accent1"/>
        </a:solidFill>
        <a:ln w="25400">
          <a:noFill/>
        </a:ln>
      </c:spPr>
    </c:plotArea>
    <c:plotVisOnly val="1"/>
    <c:dispBlanksAs val="gap"/>
    <c:showDLblsOverMax val="0"/>
  </c:chart>
  <c:spPr>
    <a:solidFill>
      <a:schemeClr val="accent1"/>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7"/>
    </mc:Choice>
    <mc:Fallback>
      <c:style val="7"/>
    </mc:Fallback>
  </mc:AlternateContent>
  <c:pivotSource>
    <c:name>[amazon_sales_analysis_dashboard.xlsx]Pivot data!PivotTable12</c:name>
    <c:fmtId val="7"/>
  </c:pivotSource>
  <c:chart>
    <c:autoTitleDeleted val="1"/>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marker>
          <c:symbol val="none"/>
        </c:marker>
        <c:dLbl>
          <c:idx val="0"/>
          <c:showLegendKey val="0"/>
          <c:showVal val="1"/>
          <c:showCatName val="0"/>
          <c:showSerName val="0"/>
          <c:showPercent val="0"/>
          <c:showBubbleSize val="0"/>
        </c:dLbl>
      </c:pivotFmt>
      <c:pivotFmt>
        <c:idx val="3"/>
        <c:marker>
          <c:symbol val="none"/>
        </c:marker>
        <c:dLbl>
          <c:idx val="0"/>
          <c:showLegendKey val="0"/>
          <c:showVal val="1"/>
          <c:showCatName val="0"/>
          <c:showSerName val="0"/>
          <c:showPercent val="0"/>
          <c:showBubbleSize val="0"/>
        </c:dLbl>
      </c:pivotFmt>
      <c:pivotFmt>
        <c:idx val="4"/>
        <c:spPr>
          <a:solidFill>
            <a:schemeClr val="bg1"/>
          </a:solidFill>
        </c:spPr>
        <c:marker>
          <c:symbol val="none"/>
        </c:marker>
        <c:dLbl>
          <c:idx val="0"/>
          <c:layout/>
          <c:showLegendKey val="0"/>
          <c:showVal val="1"/>
          <c:showCatName val="0"/>
          <c:showSerName val="0"/>
          <c:showPercent val="0"/>
          <c:showBubbleSize val="0"/>
        </c:dLbl>
      </c:pivotFmt>
    </c:pivotFmts>
    <c:plotArea>
      <c:layout/>
      <c:barChart>
        <c:barDir val="bar"/>
        <c:grouping val="clustered"/>
        <c:varyColors val="0"/>
        <c:ser>
          <c:idx val="0"/>
          <c:order val="0"/>
          <c:tx>
            <c:strRef>
              <c:f>'Pivot data'!$H$20</c:f>
              <c:strCache>
                <c:ptCount val="1"/>
                <c:pt idx="0">
                  <c:v>Total</c:v>
                </c:pt>
              </c:strCache>
            </c:strRef>
          </c:tx>
          <c:spPr>
            <a:solidFill>
              <a:schemeClr val="bg1"/>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'Pivot data'!$G$21:$G$30</c:f>
              <c:strCache>
                <c:ptCount val="9"/>
                <c:pt idx="0">
                  <c:v>Piggy coin bank </c:v>
                </c:pt>
                <c:pt idx="1">
                  <c:v>Lipstick cases, Jewelry box </c:v>
                </c:pt>
                <c:pt idx="2">
                  <c:v>Shoulder bag, Handbag </c:v>
                </c:pt>
                <c:pt idx="3">
                  <c:v>Jewelry box </c:v>
                </c:pt>
                <c:pt idx="4">
                  <c:v>Clutch purse, Wallet </c:v>
                </c:pt>
                <c:pt idx="5">
                  <c:v>Sling bag </c:v>
                </c:pt>
                <c:pt idx="6">
                  <c:v>Shoulder bag, </c:v>
                </c:pt>
                <c:pt idx="7">
                  <c:v>Wallet </c:v>
                </c:pt>
                <c:pt idx="8">
                  <c:v>Handbag </c:v>
                </c:pt>
              </c:strCache>
            </c:strRef>
          </c:cat>
          <c:val>
            <c:numRef>
              <c:f>'Pivot data'!$H$21:$H$30</c:f>
              <c:numCache>
                <c:formatCode>"₹"\ #,##0;[Red]"₹"\ #,##0</c:formatCode>
                <c:ptCount val="9"/>
                <c:pt idx="0">
                  <c:v>22292</c:v>
                </c:pt>
                <c:pt idx="1">
                  <c:v>16560</c:v>
                </c:pt>
                <c:pt idx="2">
                  <c:v>16208</c:v>
                </c:pt>
                <c:pt idx="3">
                  <c:v>13583</c:v>
                </c:pt>
                <c:pt idx="4">
                  <c:v>8293</c:v>
                </c:pt>
                <c:pt idx="5">
                  <c:v>5252</c:v>
                </c:pt>
                <c:pt idx="6">
                  <c:v>2998</c:v>
                </c:pt>
                <c:pt idx="7">
                  <c:v>2783</c:v>
                </c:pt>
                <c:pt idx="8">
                  <c:v>899</c:v>
                </c:pt>
              </c:numCache>
            </c:numRef>
          </c:val>
        </c:ser>
        <c:dLbls>
          <c:showLegendKey val="0"/>
          <c:showVal val="0"/>
          <c:showCatName val="0"/>
          <c:showSerName val="0"/>
          <c:showPercent val="0"/>
          <c:showBubbleSize val="0"/>
        </c:dLbls>
        <c:gapWidth val="150"/>
        <c:axId val="230863616"/>
        <c:axId val="230865152"/>
      </c:barChart>
      <c:catAx>
        <c:axId val="230863616"/>
        <c:scaling>
          <c:orientation val="minMax"/>
        </c:scaling>
        <c:delete val="0"/>
        <c:axPos val="l"/>
        <c:majorTickMark val="out"/>
        <c:minorTickMark val="none"/>
        <c:tickLblPos val="nextTo"/>
        <c:txPr>
          <a:bodyPr/>
          <a:lstStyle/>
          <a:p>
            <a:pPr>
              <a:defRPr sz="1050" baseline="0"/>
            </a:pPr>
            <a:endParaRPr lang="en-US"/>
          </a:p>
        </c:txPr>
        <c:crossAx val="230865152"/>
        <c:crosses val="autoZero"/>
        <c:auto val="1"/>
        <c:lblAlgn val="ctr"/>
        <c:lblOffset val="100"/>
        <c:noMultiLvlLbl val="0"/>
      </c:catAx>
      <c:valAx>
        <c:axId val="230865152"/>
        <c:scaling>
          <c:orientation val="minMax"/>
        </c:scaling>
        <c:delete val="1"/>
        <c:axPos val="b"/>
        <c:numFmt formatCode="&quot;₹&quot;\ #,##0;[Red]&quot;₹&quot;\ #,##0" sourceLinked="1"/>
        <c:majorTickMark val="out"/>
        <c:minorTickMark val="none"/>
        <c:tickLblPos val="nextTo"/>
        <c:crossAx val="230863616"/>
        <c:crosses val="autoZero"/>
        <c:crossBetween val="between"/>
      </c:valAx>
      <c:spPr>
        <a:solidFill>
          <a:schemeClr val="accent1"/>
        </a:solidFill>
      </c:spPr>
    </c:plotArea>
    <c:plotVisOnly val="1"/>
    <c:dispBlanksAs val="gap"/>
    <c:showDLblsOverMax val="0"/>
  </c:chart>
  <c:spPr>
    <a:solidFill>
      <a:schemeClr val="accent1"/>
    </a:solidFill>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3"/>
    </mc:Choice>
    <mc:Fallback>
      <c:style val="3"/>
    </mc:Fallback>
  </mc:AlternateContent>
  <c:pivotSource>
    <c:name>[amazon_sales_analysis_dashboard.xlsx]Pivot data!PivotTable7</c:name>
    <c:fmtId val="4"/>
  </c:pivotSource>
  <c:chart>
    <c:autoTitleDeleted val="1"/>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dLbl>
          <c:idx val="0"/>
          <c:showLegendKey val="0"/>
          <c:showVal val="1"/>
          <c:showCatName val="0"/>
          <c:showSerName val="0"/>
          <c:showPercent val="0"/>
          <c:showBubbleSize val="0"/>
        </c:dLbl>
      </c:pivotFmt>
      <c:pivotFmt>
        <c:idx val="3"/>
        <c:dLbl>
          <c:idx val="0"/>
          <c:showLegendKey val="0"/>
          <c:showVal val="1"/>
          <c:showCatName val="0"/>
          <c:showSerName val="0"/>
          <c:showPercent val="0"/>
          <c:showBubbleSize val="0"/>
        </c:dLbl>
      </c:pivotFmt>
      <c:pivotFmt>
        <c:idx val="4"/>
        <c:spPr>
          <a:solidFill>
            <a:schemeClr val="bg1"/>
          </a:solidFill>
        </c:spPr>
        <c:marker>
          <c:symbol val="none"/>
        </c:marker>
        <c:dLbl>
          <c:idx val="0"/>
          <c:layout/>
          <c:showLegendKey val="0"/>
          <c:showVal val="1"/>
          <c:showCatName val="0"/>
          <c:showSerName val="0"/>
          <c:showPercent val="0"/>
          <c:showBubbleSize val="0"/>
        </c:dLbl>
      </c:pivotFmt>
    </c:pivotFmts>
    <c:plotArea>
      <c:layout>
        <c:manualLayout>
          <c:layoutTarget val="inner"/>
          <c:xMode val="edge"/>
          <c:yMode val="edge"/>
          <c:x val="3.2750464733175147E-3"/>
          <c:y val="5.2246603970741903E-3"/>
          <c:w val="0.98193032219397769"/>
          <c:h val="0.89001225943935691"/>
        </c:manualLayout>
      </c:layout>
      <c:barChart>
        <c:barDir val="col"/>
        <c:grouping val="clustered"/>
        <c:varyColors val="0"/>
        <c:ser>
          <c:idx val="0"/>
          <c:order val="0"/>
          <c:tx>
            <c:strRef>
              <c:f>'Pivot data'!$E$8</c:f>
              <c:strCache>
                <c:ptCount val="1"/>
                <c:pt idx="0">
                  <c:v>Total</c:v>
                </c:pt>
              </c:strCache>
            </c:strRef>
          </c:tx>
          <c:spPr>
            <a:solidFill>
              <a:schemeClr val="bg1"/>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'Pivot data'!$D$9:$D$14</c:f>
              <c:strCache>
                <c:ptCount val="5"/>
                <c:pt idx="0">
                  <c:v>Maharashtra</c:v>
                </c:pt>
                <c:pt idx="1">
                  <c:v>West Bengal</c:v>
                </c:pt>
                <c:pt idx="2">
                  <c:v>Tamil Nadu</c:v>
                </c:pt>
                <c:pt idx="3">
                  <c:v>Karnataka</c:v>
                </c:pt>
                <c:pt idx="4">
                  <c:v>Uttar Pradesh</c:v>
                </c:pt>
              </c:strCache>
            </c:strRef>
          </c:cat>
          <c:val>
            <c:numRef>
              <c:f>'Pivot data'!$E$9:$E$14</c:f>
              <c:numCache>
                <c:formatCode>"₹"\ #,##0;[Red]"₹"\ #,##0</c:formatCode>
                <c:ptCount val="5"/>
                <c:pt idx="0">
                  <c:v>17575</c:v>
                </c:pt>
                <c:pt idx="1">
                  <c:v>14339</c:v>
                </c:pt>
                <c:pt idx="2">
                  <c:v>11245</c:v>
                </c:pt>
                <c:pt idx="3">
                  <c:v>7023</c:v>
                </c:pt>
                <c:pt idx="4">
                  <c:v>4651</c:v>
                </c:pt>
              </c:numCache>
            </c:numRef>
          </c:val>
        </c:ser>
        <c:dLbls>
          <c:showLegendKey val="0"/>
          <c:showVal val="0"/>
          <c:showCatName val="0"/>
          <c:showSerName val="0"/>
          <c:showPercent val="0"/>
          <c:showBubbleSize val="0"/>
        </c:dLbls>
        <c:gapWidth val="150"/>
        <c:axId val="232274944"/>
        <c:axId val="232317696"/>
      </c:barChart>
      <c:catAx>
        <c:axId val="232274944"/>
        <c:scaling>
          <c:orientation val="minMax"/>
        </c:scaling>
        <c:delete val="0"/>
        <c:axPos val="b"/>
        <c:majorTickMark val="out"/>
        <c:minorTickMark val="none"/>
        <c:tickLblPos val="nextTo"/>
        <c:txPr>
          <a:bodyPr/>
          <a:lstStyle/>
          <a:p>
            <a:pPr>
              <a:defRPr sz="1040" baseline="0"/>
            </a:pPr>
            <a:endParaRPr lang="en-US"/>
          </a:p>
        </c:txPr>
        <c:crossAx val="232317696"/>
        <c:crosses val="autoZero"/>
        <c:auto val="1"/>
        <c:lblAlgn val="ctr"/>
        <c:lblOffset val="100"/>
        <c:noMultiLvlLbl val="0"/>
      </c:catAx>
      <c:valAx>
        <c:axId val="232317696"/>
        <c:scaling>
          <c:orientation val="minMax"/>
        </c:scaling>
        <c:delete val="1"/>
        <c:axPos val="l"/>
        <c:numFmt formatCode="&quot;₹&quot;\ #,##0;[Red]&quot;₹&quot;\ #,##0" sourceLinked="1"/>
        <c:majorTickMark val="out"/>
        <c:minorTickMark val="none"/>
        <c:tickLblPos val="nextTo"/>
        <c:crossAx val="232274944"/>
        <c:crosses val="autoZero"/>
        <c:crossBetween val="between"/>
      </c:valAx>
      <c:spPr>
        <a:solidFill>
          <a:schemeClr val="accent1"/>
        </a:solidFill>
      </c:spPr>
    </c:plotArea>
    <c:plotVisOnly val="1"/>
    <c:dispBlanksAs val="gap"/>
    <c:showDLblsOverMax val="0"/>
  </c:chart>
  <c:spPr>
    <a:solidFill>
      <a:schemeClr val="accent1"/>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7"/>
    </mc:Choice>
    <mc:Fallback>
      <c:style val="7"/>
    </mc:Fallback>
  </mc:AlternateContent>
  <c:pivotSource>
    <c:name>[amazon_sales_analysis_dashboard.xlsx]Pivot data!PivotTable10</c:name>
    <c:fmtId val="2"/>
  </c:pivotSource>
  <c:chart>
    <c:autoTitleDeleted val="1"/>
    <c:pivotFmts>
      <c:pivotFmt>
        <c:idx val="0"/>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spPr/>
          <c:txPr>
            <a:bodyPr anchor="t" anchorCtr="1"/>
            <a:lstStyle/>
            <a:p>
              <a:pPr>
                <a:defRPr sz="1700" baseline="0"/>
              </a:pPr>
              <a:endParaRPr lang="en-US"/>
            </a:p>
          </c:txPr>
          <c:showLegendKey val="0"/>
          <c:showVal val="0"/>
          <c:showCatName val="0"/>
          <c:showSerName val="0"/>
          <c:showPercent val="1"/>
          <c:showBubbleSize val="0"/>
        </c:dLbl>
      </c:pivotFmt>
      <c:pivotFmt>
        <c:idx val="3"/>
        <c:dLbl>
          <c:idx val="0"/>
          <c:layout>
            <c:manualLayout>
              <c:x val="-4.0064102564102567E-2"/>
              <c:y val="2.4037830607712498E-2"/>
            </c:manualLayout>
          </c:layout>
          <c:showLegendKey val="0"/>
          <c:showVal val="0"/>
          <c:showCatName val="0"/>
          <c:showSerName val="0"/>
          <c:showPercent val="1"/>
          <c:showBubbleSize val="0"/>
        </c:dLbl>
      </c:pivotFmt>
      <c:pivotFmt>
        <c:idx val="4"/>
        <c:dLbl>
          <c:idx val="0"/>
          <c:layout/>
          <c:tx>
            <c:rich>
              <a:bodyPr/>
              <a:lstStyle/>
              <a:p>
                <a:r>
                  <a:rPr lang="en-IN"/>
                  <a:t>24%</a:t>
                </a:r>
              </a:p>
            </c:rich>
          </c:tx>
          <c:showLegendKey val="0"/>
          <c:showVal val="0"/>
          <c:showCatName val="0"/>
          <c:showSerName val="0"/>
          <c:showPercent val="1"/>
          <c:showBubbleSize val="0"/>
        </c:dLbl>
      </c:pivotFmt>
    </c:pivotFmts>
    <c:plotArea>
      <c:layout/>
      <c:doughnutChart>
        <c:varyColors val="1"/>
        <c:ser>
          <c:idx val="0"/>
          <c:order val="0"/>
          <c:tx>
            <c:strRef>
              <c:f>'Pivot data'!$K$8</c:f>
              <c:strCache>
                <c:ptCount val="1"/>
                <c:pt idx="0">
                  <c:v>Total</c:v>
                </c:pt>
              </c:strCache>
            </c:strRef>
          </c:tx>
          <c:dLbls>
            <c:dLbl>
              <c:idx val="0"/>
              <c:layout/>
              <c:tx>
                <c:rich>
                  <a:bodyPr/>
                  <a:lstStyle/>
                  <a:p>
                    <a:r>
                      <a:rPr lang="en-IN"/>
                      <a:t>24%</a:t>
                    </a:r>
                  </a:p>
                </c:rich>
              </c:tx>
              <c:showLegendKey val="0"/>
              <c:showVal val="0"/>
              <c:showCatName val="0"/>
              <c:showSerName val="0"/>
              <c:showPercent val="1"/>
              <c:showBubbleSize val="0"/>
            </c:dLbl>
            <c:dLbl>
              <c:idx val="1"/>
              <c:layout>
                <c:manualLayout>
                  <c:x val="-4.0064102564102567E-2"/>
                  <c:y val="2.4037830607712498E-2"/>
                </c:manualLayout>
              </c:layout>
              <c:showLegendKey val="0"/>
              <c:showVal val="0"/>
              <c:showCatName val="0"/>
              <c:showSerName val="0"/>
              <c:showPercent val="1"/>
              <c:showBubbleSize val="0"/>
            </c:dLbl>
            <c:spPr/>
            <c:txPr>
              <a:bodyPr anchor="t" anchorCtr="1"/>
              <a:lstStyle/>
              <a:p>
                <a:pPr>
                  <a:defRPr sz="1700" baseline="0"/>
                </a:pPr>
                <a:endParaRPr lang="en-US"/>
              </a:p>
            </c:txPr>
            <c:showLegendKey val="0"/>
            <c:showVal val="0"/>
            <c:showCatName val="0"/>
            <c:showSerName val="0"/>
            <c:showPercent val="1"/>
            <c:showBubbleSize val="0"/>
            <c:showLeaderLines val="1"/>
          </c:dLbls>
          <c:cat>
            <c:strRef>
              <c:f>'Pivot data'!$J$9:$J$11</c:f>
              <c:strCache>
                <c:ptCount val="2"/>
                <c:pt idx="0">
                  <c:v>COD</c:v>
                </c:pt>
                <c:pt idx="1">
                  <c:v>PREPAID</c:v>
                </c:pt>
              </c:strCache>
            </c:strRef>
          </c:cat>
          <c:val>
            <c:numRef>
              <c:f>'Pivot data'!$K$9:$K$11</c:f>
              <c:numCache>
                <c:formatCode>General</c:formatCode>
                <c:ptCount val="2"/>
                <c:pt idx="0">
                  <c:v>21664</c:v>
                </c:pt>
                <c:pt idx="1">
                  <c:v>67204</c:v>
                </c:pt>
              </c:numCache>
            </c:numRef>
          </c:val>
        </c:ser>
        <c:dLbls>
          <c:showLegendKey val="0"/>
          <c:showVal val="0"/>
          <c:showCatName val="0"/>
          <c:showSerName val="0"/>
          <c:showPercent val="0"/>
          <c:showBubbleSize val="0"/>
          <c:showLeaderLines val="1"/>
        </c:dLbls>
        <c:firstSliceAng val="0"/>
        <c:holeSize val="50"/>
      </c:doughnutChart>
    </c:plotArea>
    <c:legend>
      <c:legendPos val="t"/>
      <c:layout>
        <c:manualLayout>
          <c:xMode val="edge"/>
          <c:yMode val="edge"/>
          <c:x val="9.7139898969915192E-2"/>
          <c:y val="0"/>
          <c:w val="0.75546828631345708"/>
          <c:h val="0.14630188823484444"/>
        </c:manualLayout>
      </c:layout>
      <c:overlay val="0"/>
      <c:txPr>
        <a:bodyPr/>
        <a:lstStyle/>
        <a:p>
          <a:pPr>
            <a:defRPr sz="1040" baseline="0"/>
          </a:pPr>
          <a:endParaRPr lang="en-US"/>
        </a:p>
      </c:txPr>
    </c:legend>
    <c:plotVisOnly val="1"/>
    <c:dispBlanksAs val="gap"/>
    <c:showDLblsOverMax val="0"/>
  </c:chart>
  <c:spPr>
    <a:solidFill>
      <a:schemeClr val="bg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7"/>
    </mc:Choice>
    <mc:Fallback>
      <c:style val="7"/>
    </mc:Fallback>
  </mc:AlternateContent>
  <c:pivotSource>
    <c:name>[amazon_sales_analysis_dashboard.xlsx]Pivot data!PivotTable11</c:name>
    <c:fmtId val="2"/>
  </c:pivotSource>
  <c:chart>
    <c:autoTitleDeleted val="1"/>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layout/>
          <c:spPr/>
          <c:txPr>
            <a:bodyPr/>
            <a:lstStyle/>
            <a:p>
              <a:pPr>
                <a:defRPr sz="1640" baseline="0"/>
              </a:pPr>
              <a:endParaRPr lang="en-US"/>
            </a:p>
          </c:txPr>
          <c:showLegendKey val="0"/>
          <c:showVal val="0"/>
          <c:showCatName val="0"/>
          <c:showSerName val="0"/>
          <c:showPercent val="1"/>
          <c:showBubbleSize val="0"/>
        </c:dLbl>
      </c:pivotFmt>
    </c:pivotFmts>
    <c:plotArea>
      <c:layout/>
      <c:doughnutChart>
        <c:varyColors val="1"/>
        <c:ser>
          <c:idx val="0"/>
          <c:order val="0"/>
          <c:tx>
            <c:strRef>
              <c:f>'Pivot data'!$K$14</c:f>
              <c:strCache>
                <c:ptCount val="1"/>
                <c:pt idx="0">
                  <c:v>Total</c:v>
                </c:pt>
              </c:strCache>
            </c:strRef>
          </c:tx>
          <c:dLbls>
            <c:spPr/>
            <c:txPr>
              <a:bodyPr/>
              <a:lstStyle/>
              <a:p>
                <a:pPr>
                  <a:defRPr sz="1640" baseline="0"/>
                </a:pPr>
                <a:endParaRPr lang="en-US"/>
              </a:p>
            </c:txPr>
            <c:showLegendKey val="0"/>
            <c:showVal val="0"/>
            <c:showCatName val="0"/>
            <c:showSerName val="0"/>
            <c:showPercent val="1"/>
            <c:showBubbleSize val="0"/>
            <c:showLeaderLines val="1"/>
          </c:dLbls>
          <c:cat>
            <c:strRef>
              <c:f>'Pivot data'!$J$15:$J$17</c:f>
              <c:strCache>
                <c:ptCount val="2"/>
                <c:pt idx="0">
                  <c:v>Delivered</c:v>
                </c:pt>
                <c:pt idx="1">
                  <c:v>Returned</c:v>
                </c:pt>
              </c:strCache>
            </c:strRef>
          </c:cat>
          <c:val>
            <c:numRef>
              <c:f>'Pivot data'!$K$15:$K$17</c:f>
              <c:numCache>
                <c:formatCode>General</c:formatCode>
                <c:ptCount val="2"/>
                <c:pt idx="0">
                  <c:v>160</c:v>
                </c:pt>
                <c:pt idx="1">
                  <c:v>11</c:v>
                </c:pt>
              </c:numCache>
            </c:numRef>
          </c:val>
        </c:ser>
        <c:dLbls>
          <c:showLegendKey val="0"/>
          <c:showVal val="0"/>
          <c:showCatName val="0"/>
          <c:showSerName val="0"/>
          <c:showPercent val="0"/>
          <c:showBubbleSize val="0"/>
          <c:showLeaderLines val="1"/>
        </c:dLbls>
        <c:firstSliceAng val="0"/>
        <c:holeSize val="50"/>
      </c:doughnutChart>
    </c:plotArea>
    <c:legend>
      <c:legendPos val="t"/>
      <c:layout/>
      <c:overlay val="0"/>
      <c:txPr>
        <a:bodyPr/>
        <a:lstStyle/>
        <a:p>
          <a:pPr>
            <a:defRPr sz="1040" baseline="0"/>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[amazon_sales_analysis_dashboard.xlsx]Pivot data!PivotTable8</c:name>
    <c:fmtId val="4"/>
  </c:pivotSource>
  <c:chart>
    <c:autoTitleDeleted val="1"/>
    <c:pivotFmts>
      <c:pivotFmt>
        <c:idx val="0"/>
        <c:dLbl>
          <c:idx val="0"/>
          <c:spPr>
            <a:solidFill>
              <a:schemeClr val="accent1">
                <a:lumMod val="60000"/>
                <a:lumOff val="40000"/>
              </a:schemeClr>
            </a:solidFill>
          </c:spPr>
          <c:txPr>
            <a:bodyPr/>
            <a:lstStyle/>
            <a:p>
              <a:pPr>
                <a:defRPr/>
              </a:pPr>
              <a:endParaRPr lang="en-US"/>
            </a:p>
          </c:txPr>
          <c:dLblPos val="t"/>
          <c:showLegendKey val="0"/>
          <c:showVal val="1"/>
          <c:showCatName val="0"/>
          <c:showSerName val="0"/>
          <c:showPercent val="0"/>
          <c:showBubbleSize val="0"/>
        </c:dLbl>
      </c:pivotFmt>
      <c:pivotFmt>
        <c:idx val="1"/>
        <c:dLbl>
          <c:idx val="0"/>
          <c:spPr>
            <a:solidFill>
              <a:schemeClr val="accent1">
                <a:lumMod val="60000"/>
                <a:lumOff val="40000"/>
              </a:schemeClr>
            </a:solidFill>
          </c:spPr>
          <c:txPr>
            <a:bodyPr/>
            <a:lstStyle/>
            <a:p>
              <a:pPr>
                <a:defRPr/>
              </a:pPr>
              <a:endParaRPr lang="en-US"/>
            </a:p>
          </c:txPr>
          <c:dLblPos val="t"/>
          <c:showLegendKey val="0"/>
          <c:showVal val="1"/>
          <c:showCatName val="0"/>
          <c:showSerName val="0"/>
          <c:showPercent val="0"/>
          <c:showBubbleSize val="0"/>
        </c:dLbl>
      </c:pivotFmt>
      <c:pivotFmt>
        <c:idx val="2"/>
        <c:marker>
          <c:spPr>
            <a:solidFill>
              <a:schemeClr val="bg1"/>
            </a:solidFill>
          </c:spPr>
        </c:marker>
        <c:dLbl>
          <c:idx val="0"/>
          <c:layout/>
          <c:spPr>
            <a:solidFill>
              <a:schemeClr val="accent1">
                <a:lumMod val="60000"/>
                <a:lumOff val="40000"/>
              </a:schemeClr>
            </a:solidFill>
          </c:spPr>
          <c:txPr>
            <a:bodyPr/>
            <a:lstStyle/>
            <a:p>
              <a:pPr>
                <a:defRPr/>
              </a:pPr>
              <a:endParaRPr lang="en-US"/>
            </a:p>
          </c:txPr>
          <c:dLblPos val="t"/>
          <c:showLegendKey val="0"/>
          <c:showVal val="1"/>
          <c:showCatName val="0"/>
          <c:showSerName val="0"/>
          <c:showPercent val="0"/>
          <c:showBubbleSize val="0"/>
        </c:dLbl>
      </c:pivotFmt>
    </c:pivotFmts>
    <c:plotArea>
      <c:layout/>
      <c:lineChart>
        <c:grouping val="stacked"/>
        <c:varyColors val="0"/>
        <c:ser>
          <c:idx val="0"/>
          <c:order val="0"/>
          <c:tx>
            <c:strRef>
              <c:f>'Pivot data'!$H$8</c:f>
              <c:strCache>
                <c:ptCount val="1"/>
                <c:pt idx="0">
                  <c:v>Total</c:v>
                </c:pt>
              </c:strCache>
            </c:strRef>
          </c:tx>
          <c:marker>
            <c:spPr>
              <a:solidFill>
                <a:schemeClr val="bg1"/>
              </a:solidFill>
            </c:spPr>
          </c:marker>
          <c:dLbls>
            <c:spPr>
              <a:solidFill>
                <a:schemeClr val="accent1">
                  <a:lumMod val="60000"/>
                  <a:lumOff val="40000"/>
                </a:schemeClr>
              </a:solidFill>
            </c:spPr>
            <c:txPr>
              <a:bodyPr/>
              <a:lstStyle/>
              <a:p>
                <a:pPr>
                  <a:defRPr/>
                </a:pPr>
                <a:endParaRPr lang="en-US"/>
              </a:p>
            </c:txPr>
            <c:dLblPos val="t"/>
            <c:showLegendKey val="0"/>
            <c:showVal val="1"/>
            <c:showCatName val="0"/>
            <c:showSerName val="0"/>
            <c:showPercent val="0"/>
            <c:showBubbleSize val="0"/>
            <c:showLeaderLines val="0"/>
          </c:dLbls>
          <c:cat>
            <c:strRef>
              <c:f>'Pivot data'!$G$9:$G$18</c:f>
              <c:strCache>
                <c:ptCount val="9"/>
                <c:pt idx="0">
                  <c:v>Jan</c:v>
                </c:pt>
                <c:pt idx="1">
                  <c:v>Feb</c:v>
                </c:pt>
                <c:pt idx="2">
                  <c:v>Jun</c:v>
                </c:pt>
                <c:pt idx="3">
                  <c:v>Jul</c:v>
                </c:pt>
                <c:pt idx="4">
                  <c:v>Aug</c:v>
                </c:pt>
                <c:pt idx="5">
                  <c:v>Sep</c:v>
                </c:pt>
                <c:pt idx="6">
                  <c:v>Oct</c:v>
                </c:pt>
                <c:pt idx="7">
                  <c:v>Nov</c:v>
                </c:pt>
                <c:pt idx="8">
                  <c:v>Dec</c:v>
                </c:pt>
              </c:strCache>
            </c:strRef>
          </c:cat>
          <c:val>
            <c:numRef>
              <c:f>'Pivot data'!$H$9:$H$18</c:f>
              <c:numCache>
                <c:formatCode>General</c:formatCode>
                <c:ptCount val="9"/>
                <c:pt idx="0">
                  <c:v>19</c:v>
                </c:pt>
                <c:pt idx="1">
                  <c:v>13</c:v>
                </c:pt>
                <c:pt idx="2">
                  <c:v>8</c:v>
                </c:pt>
                <c:pt idx="3">
                  <c:v>7</c:v>
                </c:pt>
                <c:pt idx="4">
                  <c:v>13</c:v>
                </c:pt>
                <c:pt idx="5">
                  <c:v>18</c:v>
                </c:pt>
                <c:pt idx="6">
                  <c:v>27</c:v>
                </c:pt>
                <c:pt idx="7">
                  <c:v>29</c:v>
                </c:pt>
                <c:pt idx="8">
                  <c:v>37</c:v>
                </c:pt>
              </c:numCache>
            </c:numRef>
          </c:val>
          <c:smooth val="0"/>
        </c:ser>
        <c:dLbls>
          <c:showLegendKey val="0"/>
          <c:showVal val="0"/>
          <c:showCatName val="0"/>
          <c:showSerName val="0"/>
          <c:showPercent val="0"/>
          <c:showBubbleSize val="0"/>
        </c:dLbls>
        <c:marker val="1"/>
        <c:smooth val="0"/>
        <c:axId val="232100608"/>
        <c:axId val="232102144"/>
      </c:lineChart>
      <c:catAx>
        <c:axId val="232100608"/>
        <c:scaling>
          <c:orientation val="minMax"/>
        </c:scaling>
        <c:delete val="0"/>
        <c:axPos val="b"/>
        <c:majorTickMark val="out"/>
        <c:minorTickMark val="none"/>
        <c:tickLblPos val="nextTo"/>
        <c:txPr>
          <a:bodyPr/>
          <a:lstStyle/>
          <a:p>
            <a:pPr>
              <a:defRPr sz="1040" baseline="0"/>
            </a:pPr>
            <a:endParaRPr lang="en-US"/>
          </a:p>
        </c:txPr>
        <c:crossAx val="232102144"/>
        <c:crosses val="autoZero"/>
        <c:auto val="1"/>
        <c:lblAlgn val="ctr"/>
        <c:lblOffset val="100"/>
        <c:noMultiLvlLbl val="0"/>
      </c:catAx>
      <c:valAx>
        <c:axId val="232102144"/>
        <c:scaling>
          <c:orientation val="minMax"/>
        </c:scaling>
        <c:delete val="1"/>
        <c:axPos val="l"/>
        <c:numFmt formatCode="General" sourceLinked="1"/>
        <c:majorTickMark val="out"/>
        <c:minorTickMark val="none"/>
        <c:tickLblPos val="nextTo"/>
        <c:crossAx val="232100608"/>
        <c:crosses val="autoZero"/>
        <c:crossBetween val="between"/>
      </c:valAx>
      <c:spPr>
        <a:solidFill>
          <a:schemeClr val="bg1"/>
        </a:solidFill>
        <a:ln w="25400">
          <a:noFill/>
        </a:ln>
      </c:spPr>
    </c:plotArea>
    <c:plotVisOnly val="1"/>
    <c:dispBlanksAs val="zero"/>
    <c:showDLblsOverMax val="0"/>
  </c:chart>
  <c:spPr>
    <a:solidFill>
      <a:schemeClr val="accent1"/>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17</xdr:col>
      <xdr:colOff>129540</xdr:colOff>
      <xdr:row>1</xdr:row>
      <xdr:rowOff>7620</xdr:rowOff>
    </xdr:from>
    <xdr:to>
      <xdr:col>20</xdr:col>
      <xdr:colOff>129540</xdr:colOff>
      <xdr:row>14</xdr:row>
      <xdr:rowOff>97155</xdr:rowOff>
    </xdr:to>
    <mc:AlternateContent xmlns:mc="http://schemas.openxmlformats.org/markup-compatibility/2006" xmlns:a14="http://schemas.microsoft.com/office/drawing/2010/main">
      <mc:Choice Requires="a14">
        <xdr:graphicFrame macro="">
          <xdr:nvGraphicFramePr>
            <xdr:cNvPr id="3" name="SHIP_STATE"/>
            <xdr:cNvGraphicFramePr/>
          </xdr:nvGraphicFramePr>
          <xdr:xfrm>
            <a:off x="0" y="0"/>
            <a:ext cx="0" cy="0"/>
          </xdr:xfrm>
          <a:graphic>
            <a:graphicData uri="http://schemas.microsoft.com/office/drawing/2010/slicer">
              <sle:slicer xmlns:sle="http://schemas.microsoft.com/office/drawing/2010/slicer" name="SHIP_STATE"/>
            </a:graphicData>
          </a:graphic>
        </xdr:graphicFrame>
      </mc:Choice>
      <mc:Fallback xmlns="">
        <xdr:sp macro="" textlink="">
          <xdr:nvSpPr>
            <xdr:cNvPr id="0" name=""/>
            <xdr:cNvSpPr>
              <a:spLocks noTextEdit="1"/>
            </xdr:cNvSpPr>
          </xdr:nvSpPr>
          <xdr:spPr>
            <a:xfrm>
              <a:off x="1386840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45720</xdr:colOff>
      <xdr:row>0</xdr:row>
      <xdr:rowOff>160020</xdr:rowOff>
    </xdr:from>
    <xdr:to>
      <xdr:col>17</xdr:col>
      <xdr:colOff>45720</xdr:colOff>
      <xdr:row>14</xdr:row>
      <xdr:rowOff>66675</xdr:rowOff>
    </xdr:to>
    <mc:AlternateContent xmlns:mc="http://schemas.openxmlformats.org/markup-compatibility/2006" xmlns:a14="http://schemas.microsoft.com/office/drawing/2010/main">
      <mc:Choice Requires="a14">
        <xdr:graphicFrame macro="">
          <xdr:nvGraphicFramePr>
            <xdr:cNvPr id="4" name="ORDER_MONTH"/>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11955780" y="160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198120</xdr:colOff>
      <xdr:row>1</xdr:row>
      <xdr:rowOff>15241</xdr:rowOff>
    </xdr:from>
    <xdr:to>
      <xdr:col>13</xdr:col>
      <xdr:colOff>518160</xdr:colOff>
      <xdr:row>4</xdr:row>
      <xdr:rowOff>99060</xdr:rowOff>
    </xdr:to>
    <mc:AlternateContent xmlns:mc="http://schemas.openxmlformats.org/markup-compatibility/2006" xmlns:a14="http://schemas.microsoft.com/office/drawing/2010/main">
      <mc:Choice Requires="a14">
        <xdr:graphicFrame macro="">
          <xdr:nvGraphicFramePr>
            <xdr:cNvPr id="5" name="Order Years"/>
            <xdr:cNvGraphicFramePr/>
          </xdr:nvGraphicFramePr>
          <xdr:xfrm>
            <a:off x="0" y="0"/>
            <a:ext cx="0" cy="0"/>
          </xdr:xfrm>
          <a:graphic>
            <a:graphicData uri="http://schemas.microsoft.com/office/drawing/2010/slicer">
              <sle:slicer xmlns:sle="http://schemas.microsoft.com/office/drawing/2010/slicer" name="Order Years"/>
            </a:graphicData>
          </a:graphic>
        </xdr:graphicFrame>
      </mc:Choice>
      <mc:Fallback xmlns="">
        <xdr:sp macro="" textlink="">
          <xdr:nvSpPr>
            <xdr:cNvPr id="0" name=""/>
            <xdr:cNvSpPr>
              <a:spLocks noTextEdit="1"/>
            </xdr:cNvSpPr>
          </xdr:nvSpPr>
          <xdr:spPr>
            <a:xfrm>
              <a:off x="10279380" y="198121"/>
              <a:ext cx="153924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0</xdr:row>
      <xdr:rowOff>160021</xdr:rowOff>
    </xdr:from>
    <xdr:to>
      <xdr:col>7</xdr:col>
      <xdr:colOff>548640</xdr:colOff>
      <xdr:row>4</xdr:row>
      <xdr:rowOff>152401</xdr:rowOff>
    </xdr:to>
    <mc:AlternateContent xmlns:mc="http://schemas.openxmlformats.org/markup-compatibility/2006" xmlns:a14="http://schemas.microsoft.com/office/drawing/2010/main">
      <mc:Choice Requires="a14">
        <xdr:graphicFrame macro="">
          <xdr:nvGraphicFramePr>
            <xdr:cNvPr id="6" name="PAYMENT"/>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5455920" y="160021"/>
              <a:ext cx="184404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533400</xdr:colOff>
      <xdr:row>0</xdr:row>
      <xdr:rowOff>167641</xdr:rowOff>
    </xdr:from>
    <xdr:to>
      <xdr:col>5</xdr:col>
      <xdr:colOff>297180</xdr:colOff>
      <xdr:row>4</xdr:row>
      <xdr:rowOff>129541</xdr:rowOff>
    </xdr:to>
    <mc:AlternateContent xmlns:mc="http://schemas.openxmlformats.org/markup-compatibility/2006" xmlns:a14="http://schemas.microsoft.com/office/drawing/2010/main">
      <mc:Choice Requires="a14">
        <xdr:graphicFrame macro="">
          <xdr:nvGraphicFramePr>
            <xdr:cNvPr id="7" name="ORDER_STATUS"/>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3307080" y="167641"/>
              <a:ext cx="183642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10</xdr:col>
      <xdr:colOff>95250</xdr:colOff>
      <xdr:row>19</xdr:row>
      <xdr:rowOff>144780</xdr:rowOff>
    </xdr:from>
    <xdr:to>
      <xdr:col>16</xdr:col>
      <xdr:colOff>586740</xdr:colOff>
      <xdr:row>33</xdr:row>
      <xdr:rowOff>3810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110490</xdr:colOff>
      <xdr:row>33</xdr:row>
      <xdr:rowOff>106680</xdr:rowOff>
    </xdr:from>
    <xdr:to>
      <xdr:col>17</xdr:col>
      <xdr:colOff>0</xdr:colOff>
      <xdr:row>48</xdr:row>
      <xdr:rowOff>163830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80010</xdr:colOff>
      <xdr:row>15</xdr:row>
      <xdr:rowOff>22860</xdr:rowOff>
    </xdr:from>
    <xdr:to>
      <xdr:col>22</xdr:col>
      <xdr:colOff>472440</xdr:colOff>
      <xdr:row>29</xdr:row>
      <xdr:rowOff>57150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236220</xdr:colOff>
      <xdr:row>1</xdr:row>
      <xdr:rowOff>76200</xdr:rowOff>
    </xdr:from>
    <xdr:to>
      <xdr:col>23</xdr:col>
      <xdr:colOff>419100</xdr:colOff>
      <xdr:row>12</xdr:row>
      <xdr:rowOff>80010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556260</xdr:colOff>
      <xdr:row>1</xdr:row>
      <xdr:rowOff>53340</xdr:rowOff>
    </xdr:from>
    <xdr:to>
      <xdr:col>26</xdr:col>
      <xdr:colOff>586740</xdr:colOff>
      <xdr:row>12</xdr:row>
      <xdr:rowOff>38100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45720</xdr:colOff>
      <xdr:row>13</xdr:row>
      <xdr:rowOff>156210</xdr:rowOff>
    </xdr:from>
    <xdr:to>
      <xdr:col>28</xdr:col>
      <xdr:colOff>175260</xdr:colOff>
      <xdr:row>24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312420</xdr:colOff>
      <xdr:row>0</xdr:row>
      <xdr:rowOff>68580</xdr:rowOff>
    </xdr:from>
    <xdr:to>
      <xdr:col>22</xdr:col>
      <xdr:colOff>457200</xdr:colOff>
      <xdr:row>9</xdr:row>
      <xdr:rowOff>160020</xdr:rowOff>
    </xdr:to>
    <xdr:sp macro="" textlink="">
      <xdr:nvSpPr>
        <xdr:cNvPr id="7" name="Rectangle 6"/>
        <xdr:cNvSpPr/>
      </xdr:nvSpPr>
      <xdr:spPr>
        <a:xfrm>
          <a:off x="10675620" y="68580"/>
          <a:ext cx="3192780" cy="17373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68580</xdr:rowOff>
    </xdr:from>
    <xdr:to>
      <xdr:col>26</xdr:col>
      <xdr:colOff>533400</xdr:colOff>
      <xdr:row>45</xdr:row>
      <xdr:rowOff>91440</xdr:rowOff>
    </xdr:to>
    <xdr:sp macro="" textlink="">
      <xdr:nvSpPr>
        <xdr:cNvPr id="2" name="Rectangle 1"/>
        <xdr:cNvSpPr/>
      </xdr:nvSpPr>
      <xdr:spPr>
        <a:xfrm>
          <a:off x="0" y="68580"/>
          <a:ext cx="16383000" cy="8252460"/>
        </a:xfrm>
        <a:prstGeom prst="rect">
          <a:avLst/>
        </a:prstGeom>
        <a:solidFill>
          <a:schemeClr val="accent1"/>
        </a:solidFill>
        <a:ln>
          <a:no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373380</xdr:colOff>
      <xdr:row>0</xdr:row>
      <xdr:rowOff>68580</xdr:rowOff>
    </xdr:from>
    <xdr:to>
      <xdr:col>16</xdr:col>
      <xdr:colOff>601980</xdr:colOff>
      <xdr:row>3</xdr:row>
      <xdr:rowOff>45720</xdr:rowOff>
    </xdr:to>
    <xdr:sp macro="" textlink="">
      <xdr:nvSpPr>
        <xdr:cNvPr id="3" name="Rounded Rectangle 2"/>
        <xdr:cNvSpPr/>
      </xdr:nvSpPr>
      <xdr:spPr>
        <a:xfrm>
          <a:off x="2811780" y="68580"/>
          <a:ext cx="7543800" cy="52578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aseline="0">
              <a:solidFill>
                <a:srgbClr val="002060"/>
              </a:solidFill>
              <a:latin typeface="Bahnschrift SemiBold" pitchFamily="34" charset="0"/>
              <a:ea typeface="Cascadia Code SemiLight" pitchFamily="49" charset="0"/>
              <a:cs typeface="Segoe UI Semibold" pitchFamily="34" charset="0"/>
            </a:rPr>
            <a:t>            </a:t>
          </a:r>
          <a:r>
            <a:rPr lang="en-IN" sz="2400">
              <a:solidFill>
                <a:srgbClr val="002060"/>
              </a:solidFill>
              <a:latin typeface="Bahnschrift SemiBold" pitchFamily="34" charset="0"/>
              <a:ea typeface="Cascadia Code SemiLight" pitchFamily="49" charset="0"/>
              <a:cs typeface="Segoe UI Semibold" pitchFamily="34" charset="0"/>
            </a:rPr>
            <a:t>Amazon</a:t>
          </a:r>
          <a:r>
            <a:rPr lang="en-IN" sz="2400" baseline="0">
              <a:solidFill>
                <a:srgbClr val="002060"/>
              </a:solidFill>
              <a:latin typeface="Bahnschrift SemiBold" pitchFamily="34" charset="0"/>
              <a:ea typeface="Cascadia Code SemiLight" pitchFamily="49" charset="0"/>
              <a:cs typeface="Segoe UI Semibold" pitchFamily="34" charset="0"/>
            </a:rPr>
            <a:t> Sales Analysis Dashboard</a:t>
          </a:r>
          <a:r>
            <a:rPr lang="en-IN" sz="2400">
              <a:solidFill>
                <a:srgbClr val="002060"/>
              </a:solidFill>
              <a:latin typeface="Bahnschrift SemiBold" pitchFamily="34" charset="0"/>
              <a:ea typeface="Cascadia Code SemiLight" pitchFamily="49" charset="0"/>
              <a:cs typeface="Segoe UI Semibold" pitchFamily="34" charset="0"/>
            </a:rPr>
            <a:t> (2021-2022) </a:t>
          </a:r>
        </a:p>
      </xdr:txBody>
    </xdr:sp>
    <xdr:clientData/>
  </xdr:twoCellAnchor>
  <xdr:twoCellAnchor>
    <xdr:from>
      <xdr:col>3</xdr:col>
      <xdr:colOff>548640</xdr:colOff>
      <xdr:row>8</xdr:row>
      <xdr:rowOff>7620</xdr:rowOff>
    </xdr:from>
    <xdr:to>
      <xdr:col>17</xdr:col>
      <xdr:colOff>198120</xdr:colOff>
      <xdr:row>8</xdr:row>
      <xdr:rowOff>22860</xdr:rowOff>
    </xdr:to>
    <xdr:cxnSp macro="">
      <xdr:nvCxnSpPr>
        <xdr:cNvPr id="5" name="Straight Connector 4"/>
        <xdr:cNvCxnSpPr/>
      </xdr:nvCxnSpPr>
      <xdr:spPr>
        <a:xfrm>
          <a:off x="2377440" y="1470660"/>
          <a:ext cx="8183880" cy="15240"/>
        </a:xfrm>
        <a:prstGeom prst="line">
          <a:avLst/>
        </a:prstGeom>
      </xdr:spPr>
      <xdr:style>
        <a:lnRef idx="2">
          <a:schemeClr val="accent5"/>
        </a:lnRef>
        <a:fillRef idx="0">
          <a:schemeClr val="accent5"/>
        </a:fillRef>
        <a:effectRef idx="1">
          <a:schemeClr val="accent5"/>
        </a:effectRef>
        <a:fontRef idx="minor">
          <a:schemeClr val="tx1"/>
        </a:fontRef>
      </xdr:style>
    </xdr:cxnSp>
    <xdr:clientData/>
  </xdr:twoCellAnchor>
  <xdr:twoCellAnchor>
    <xdr:from>
      <xdr:col>4</xdr:col>
      <xdr:colOff>30480</xdr:colOff>
      <xdr:row>8</xdr:row>
      <xdr:rowOff>129540</xdr:rowOff>
    </xdr:from>
    <xdr:to>
      <xdr:col>7</xdr:col>
      <xdr:colOff>76200</xdr:colOff>
      <xdr:row>13</xdr:row>
      <xdr:rowOff>60960</xdr:rowOff>
    </xdr:to>
    <xdr:sp macro="" textlink="">
      <xdr:nvSpPr>
        <xdr:cNvPr id="6" name="Rounded Rectangle 5"/>
        <xdr:cNvSpPr/>
      </xdr:nvSpPr>
      <xdr:spPr>
        <a:xfrm>
          <a:off x="2468880" y="1592580"/>
          <a:ext cx="1874520" cy="845820"/>
        </a:xfrm>
        <a:prstGeom prst="roundRect">
          <a:avLst/>
        </a:prstGeom>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236220</xdr:colOff>
      <xdr:row>8</xdr:row>
      <xdr:rowOff>129540</xdr:rowOff>
    </xdr:from>
    <xdr:to>
      <xdr:col>10</xdr:col>
      <xdr:colOff>281940</xdr:colOff>
      <xdr:row>13</xdr:row>
      <xdr:rowOff>60960</xdr:rowOff>
    </xdr:to>
    <xdr:sp macro="" textlink="">
      <xdr:nvSpPr>
        <xdr:cNvPr id="21" name="Rounded Rectangle 20"/>
        <xdr:cNvSpPr/>
      </xdr:nvSpPr>
      <xdr:spPr>
        <a:xfrm>
          <a:off x="4503420" y="1592580"/>
          <a:ext cx="1874520" cy="845820"/>
        </a:xfrm>
        <a:prstGeom prst="roundRect">
          <a:avLst/>
        </a:prstGeom>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464820</xdr:colOff>
      <xdr:row>8</xdr:row>
      <xdr:rowOff>114300</xdr:rowOff>
    </xdr:from>
    <xdr:to>
      <xdr:col>13</xdr:col>
      <xdr:colOff>510540</xdr:colOff>
      <xdr:row>13</xdr:row>
      <xdr:rowOff>45720</xdr:rowOff>
    </xdr:to>
    <xdr:sp macro="" textlink="">
      <xdr:nvSpPr>
        <xdr:cNvPr id="22" name="Rounded Rectangle 21"/>
        <xdr:cNvSpPr/>
      </xdr:nvSpPr>
      <xdr:spPr>
        <a:xfrm>
          <a:off x="6560820" y="1577340"/>
          <a:ext cx="1874520" cy="845820"/>
        </a:xfrm>
        <a:prstGeom prst="roundRect">
          <a:avLst>
            <a:gd name="adj" fmla="val 184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p>
        <a:p>
          <a:pPr algn="l"/>
          <a:r>
            <a:rPr lang="en-IN" sz="1100" baseline="0"/>
            <a:t>            </a:t>
          </a:r>
          <a:endParaRPr lang="en-IN" sz="1100"/>
        </a:p>
      </xdr:txBody>
    </xdr:sp>
    <xdr:clientData/>
  </xdr:twoCellAnchor>
  <xdr:twoCellAnchor editAs="oneCell">
    <xdr:from>
      <xdr:col>4</xdr:col>
      <xdr:colOff>106680</xdr:colOff>
      <xdr:row>9</xdr:row>
      <xdr:rowOff>129540</xdr:rowOff>
    </xdr:from>
    <xdr:to>
      <xdr:col>5</xdr:col>
      <xdr:colOff>15240</xdr:colOff>
      <xdr:row>12</xdr:row>
      <xdr:rowOff>99060</xdr:rowOff>
    </xdr:to>
    <xdr:pic>
      <xdr:nvPicPr>
        <xdr:cNvPr id="8"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5080" y="1775460"/>
          <a:ext cx="518160" cy="51816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14</xdr:col>
      <xdr:colOff>190500</xdr:colOff>
      <xdr:row>9</xdr:row>
      <xdr:rowOff>106680</xdr:rowOff>
    </xdr:from>
    <xdr:to>
      <xdr:col>15</xdr:col>
      <xdr:colOff>38100</xdr:colOff>
      <xdr:row>12</xdr:row>
      <xdr:rowOff>15240</xdr:rowOff>
    </xdr:to>
    <xdr:pic>
      <xdr:nvPicPr>
        <xdr:cNvPr id="24" name="Picture 2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24900" y="1752600"/>
          <a:ext cx="457200" cy="4572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7</xdr:col>
      <xdr:colOff>304800</xdr:colOff>
      <xdr:row>9</xdr:row>
      <xdr:rowOff>175260</xdr:rowOff>
    </xdr:from>
    <xdr:to>
      <xdr:col>8</xdr:col>
      <xdr:colOff>129540</xdr:colOff>
      <xdr:row>12</xdr:row>
      <xdr:rowOff>60960</xdr:rowOff>
    </xdr:to>
    <xdr:pic>
      <xdr:nvPicPr>
        <xdr:cNvPr id="26" name="Picture 2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72000" y="1821180"/>
          <a:ext cx="434340" cy="43434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5</xdr:col>
      <xdr:colOff>30480</xdr:colOff>
      <xdr:row>9</xdr:row>
      <xdr:rowOff>60960</xdr:rowOff>
    </xdr:from>
    <xdr:to>
      <xdr:col>7</xdr:col>
      <xdr:colOff>76200</xdr:colOff>
      <xdr:row>11</xdr:row>
      <xdr:rowOff>53340</xdr:rowOff>
    </xdr:to>
    <xdr:sp macro="" textlink="">
      <xdr:nvSpPr>
        <xdr:cNvPr id="11" name="Rounded Rectangle 10"/>
        <xdr:cNvSpPr/>
      </xdr:nvSpPr>
      <xdr:spPr>
        <a:xfrm>
          <a:off x="3078480" y="1706880"/>
          <a:ext cx="1264920" cy="35814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Franklin Gothic Medium" pitchFamily="34" charset="0"/>
            </a:rPr>
            <a:t>TOTAL   SALES  </a:t>
          </a:r>
        </a:p>
      </xdr:txBody>
    </xdr:sp>
    <xdr:clientData/>
  </xdr:twoCellAnchor>
  <xdr:twoCellAnchor>
    <xdr:from>
      <xdr:col>15</xdr:col>
      <xdr:colOff>60960</xdr:colOff>
      <xdr:row>9</xdr:row>
      <xdr:rowOff>53340</xdr:rowOff>
    </xdr:from>
    <xdr:to>
      <xdr:col>17</xdr:col>
      <xdr:colOff>106680</xdr:colOff>
      <xdr:row>11</xdr:row>
      <xdr:rowOff>129540</xdr:rowOff>
    </xdr:to>
    <xdr:sp macro="" textlink="">
      <xdr:nvSpPr>
        <xdr:cNvPr id="29" name="Rounded Rectangle 28"/>
        <xdr:cNvSpPr/>
      </xdr:nvSpPr>
      <xdr:spPr>
        <a:xfrm>
          <a:off x="9204960" y="1699260"/>
          <a:ext cx="1264920" cy="44196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aseline="0">
              <a:latin typeface="Franklin Gothic Medium" pitchFamily="34" charset="0"/>
            </a:rPr>
            <a:t>  </a:t>
          </a:r>
          <a:r>
            <a:rPr lang="en-IN" sz="1050">
              <a:latin typeface="Franklin Gothic Medium" pitchFamily="34" charset="0"/>
            </a:rPr>
            <a:t>    AVERAGE</a:t>
          </a:r>
          <a:r>
            <a:rPr lang="en-IN" sz="1050" baseline="0">
              <a:latin typeface="Franklin Gothic Medium" pitchFamily="34" charset="0"/>
            </a:rPr>
            <a:t>                              ORDER  VALUE</a:t>
          </a:r>
          <a:r>
            <a:rPr lang="en-IN" sz="1050">
              <a:latin typeface="Franklin Gothic Medium" pitchFamily="34" charset="0"/>
            </a:rPr>
            <a:t>   	</a:t>
          </a:r>
        </a:p>
      </xdr:txBody>
    </xdr:sp>
    <xdr:clientData/>
  </xdr:twoCellAnchor>
  <xdr:twoCellAnchor>
    <xdr:from>
      <xdr:col>8</xdr:col>
      <xdr:colOff>182880</xdr:colOff>
      <xdr:row>9</xdr:row>
      <xdr:rowOff>45720</xdr:rowOff>
    </xdr:from>
    <xdr:to>
      <xdr:col>10</xdr:col>
      <xdr:colOff>236220</xdr:colOff>
      <xdr:row>11</xdr:row>
      <xdr:rowOff>38100</xdr:rowOff>
    </xdr:to>
    <xdr:sp macro="" textlink="">
      <xdr:nvSpPr>
        <xdr:cNvPr id="30" name="Rounded Rectangle 29"/>
        <xdr:cNvSpPr/>
      </xdr:nvSpPr>
      <xdr:spPr>
        <a:xfrm>
          <a:off x="5059680" y="1691640"/>
          <a:ext cx="1272540" cy="35814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Franklin Gothic Medium" pitchFamily="34" charset="0"/>
            </a:rPr>
            <a:t>TOTAL  ORDERS  </a:t>
          </a:r>
          <a:endParaRPr lang="en-IN" sz="1200">
            <a:latin typeface="Franklin Gothic Medium" pitchFamily="34" charset="0"/>
          </a:endParaRPr>
        </a:p>
      </xdr:txBody>
    </xdr:sp>
    <xdr:clientData/>
  </xdr:twoCellAnchor>
  <xdr:twoCellAnchor>
    <xdr:from>
      <xdr:col>5</xdr:col>
      <xdr:colOff>160020</xdr:colOff>
      <xdr:row>10</xdr:row>
      <xdr:rowOff>167640</xdr:rowOff>
    </xdr:from>
    <xdr:to>
      <xdr:col>7</xdr:col>
      <xdr:colOff>53340</xdr:colOff>
      <xdr:row>13</xdr:row>
      <xdr:rowOff>53340</xdr:rowOff>
    </xdr:to>
    <xdr:sp macro="" textlink="'Pivot data'!B4">
      <xdr:nvSpPr>
        <xdr:cNvPr id="4" name="TextBox 3"/>
        <xdr:cNvSpPr txBox="1"/>
      </xdr:nvSpPr>
      <xdr:spPr>
        <a:xfrm>
          <a:off x="3208020" y="1996440"/>
          <a:ext cx="1112520" cy="4343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203615-4E3E-43C4-8AEC-0DA711886A93}" type="TxLink">
            <a:rPr lang="en-US" sz="18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Bahnschrift SemiCondensed" pitchFamily="34" charset="0"/>
            </a:rPr>
            <a:pPr/>
            <a:t>₹ 88,868</a:t>
          </a:fld>
          <a:endParaRPr lang="en-US" sz="18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Bahnschrift SemiCondensed" pitchFamily="34" charset="0"/>
          </a:endParaRPr>
        </a:p>
      </xdr:txBody>
    </xdr:sp>
    <xdr:clientData/>
  </xdr:twoCellAnchor>
  <xdr:twoCellAnchor>
    <xdr:from>
      <xdr:col>15</xdr:col>
      <xdr:colOff>289560</xdr:colOff>
      <xdr:row>11</xdr:row>
      <xdr:rowOff>38100</xdr:rowOff>
    </xdr:from>
    <xdr:to>
      <xdr:col>17</xdr:col>
      <xdr:colOff>22860</xdr:colOff>
      <xdr:row>12</xdr:row>
      <xdr:rowOff>175260</xdr:rowOff>
    </xdr:to>
    <xdr:sp macro="" textlink="#REF!">
      <xdr:nvSpPr>
        <xdr:cNvPr id="23" name="TextBox 22"/>
        <xdr:cNvSpPr txBox="1"/>
      </xdr:nvSpPr>
      <xdr:spPr>
        <a:xfrm>
          <a:off x="9433560" y="2049780"/>
          <a:ext cx="952500" cy="3200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D52CE2-8FD2-4801-92E4-BE497B3BEFB3}" type="TxLink">
            <a:rPr lang="en-IN" sz="1400"/>
            <a:pPr algn="ctr"/>
            <a:t>₹ 520</a:t>
          </a:fld>
          <a:endParaRPr lang="en-IN" sz="1400"/>
        </a:p>
      </xdr:txBody>
    </xdr:sp>
    <xdr:clientData/>
  </xdr:twoCellAnchor>
  <xdr:twoCellAnchor>
    <xdr:from>
      <xdr:col>8</xdr:col>
      <xdr:colOff>289560</xdr:colOff>
      <xdr:row>11</xdr:row>
      <xdr:rowOff>15240</xdr:rowOff>
    </xdr:from>
    <xdr:to>
      <xdr:col>9</xdr:col>
      <xdr:colOff>601980</xdr:colOff>
      <xdr:row>12</xdr:row>
      <xdr:rowOff>152400</xdr:rowOff>
    </xdr:to>
    <xdr:sp macro="" textlink="'Pivot data'!B9">
      <xdr:nvSpPr>
        <xdr:cNvPr id="27" name="TextBox 26"/>
        <xdr:cNvSpPr txBox="1"/>
      </xdr:nvSpPr>
      <xdr:spPr>
        <a:xfrm>
          <a:off x="5166360" y="2026920"/>
          <a:ext cx="922020" cy="3200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90809B-3E2D-4C6A-832A-6BE0BDB9F57C}" type="TxLink">
            <a:rPr lang="en-IN" sz="20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Bahnschrift SemiCondensed" pitchFamily="34" charset="0"/>
            </a:rPr>
            <a:pPr algn="ctr"/>
            <a:t>171</a:t>
          </a:fld>
          <a:endParaRPr lang="en-IN" sz="20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Bahnschrift SemiCondensed" pitchFamily="34" charset="0"/>
          </a:endParaRPr>
        </a:p>
      </xdr:txBody>
    </xdr:sp>
    <xdr:clientData/>
  </xdr:twoCellAnchor>
  <xdr:twoCellAnchor>
    <xdr:from>
      <xdr:col>3</xdr:col>
      <xdr:colOff>579120</xdr:colOff>
      <xdr:row>13</xdr:row>
      <xdr:rowOff>137160</xdr:rowOff>
    </xdr:from>
    <xdr:to>
      <xdr:col>17</xdr:col>
      <xdr:colOff>182880</xdr:colOff>
      <xdr:row>13</xdr:row>
      <xdr:rowOff>160020</xdr:rowOff>
    </xdr:to>
    <xdr:cxnSp macro="">
      <xdr:nvCxnSpPr>
        <xdr:cNvPr id="31" name="Straight Connector 30"/>
        <xdr:cNvCxnSpPr/>
      </xdr:nvCxnSpPr>
      <xdr:spPr>
        <a:xfrm>
          <a:off x="2407920" y="2514600"/>
          <a:ext cx="8138160" cy="22860"/>
        </a:xfrm>
        <a:prstGeom prst="line">
          <a:avLst/>
        </a:prstGeom>
      </xdr:spPr>
      <xdr:style>
        <a:lnRef idx="2">
          <a:schemeClr val="accent5"/>
        </a:lnRef>
        <a:fillRef idx="0">
          <a:schemeClr val="accent5"/>
        </a:fillRef>
        <a:effectRef idx="1">
          <a:schemeClr val="accent5"/>
        </a:effectRef>
        <a:fontRef idx="minor">
          <a:schemeClr val="tx1"/>
        </a:fontRef>
      </xdr:style>
    </xdr:cxnSp>
    <xdr:clientData/>
  </xdr:twoCellAnchor>
  <xdr:twoCellAnchor>
    <xdr:from>
      <xdr:col>14</xdr:col>
      <xdr:colOff>106680</xdr:colOff>
      <xdr:row>8</xdr:row>
      <xdr:rowOff>83820</xdr:rowOff>
    </xdr:from>
    <xdr:to>
      <xdr:col>17</xdr:col>
      <xdr:colOff>152400</xdr:colOff>
      <xdr:row>13</xdr:row>
      <xdr:rowOff>15240</xdr:rowOff>
    </xdr:to>
    <xdr:sp macro="" textlink="">
      <xdr:nvSpPr>
        <xdr:cNvPr id="32" name="Rounded Rectangle 31"/>
        <xdr:cNvSpPr/>
      </xdr:nvSpPr>
      <xdr:spPr>
        <a:xfrm>
          <a:off x="8641080" y="1546860"/>
          <a:ext cx="1874520" cy="845820"/>
        </a:xfrm>
        <a:prstGeom prst="roundRect">
          <a:avLst>
            <a:gd name="adj" fmla="val 1846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533400</xdr:colOff>
      <xdr:row>9</xdr:row>
      <xdr:rowOff>137160</xdr:rowOff>
    </xdr:from>
    <xdr:to>
      <xdr:col>11</xdr:col>
      <xdr:colOff>373380</xdr:colOff>
      <xdr:row>12</xdr:row>
      <xdr:rowOff>38100</xdr:rowOff>
    </xdr:to>
    <xdr:pic>
      <xdr:nvPicPr>
        <xdr:cNvPr id="33" name="Picture 3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29400" y="1783080"/>
          <a:ext cx="449580" cy="44958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14</xdr:col>
      <xdr:colOff>175262</xdr:colOff>
      <xdr:row>9</xdr:row>
      <xdr:rowOff>137160</xdr:rowOff>
    </xdr:from>
    <xdr:to>
      <xdr:col>15</xdr:col>
      <xdr:colOff>22862</xdr:colOff>
      <xdr:row>12</xdr:row>
      <xdr:rowOff>45720</xdr:rowOff>
    </xdr:to>
    <xdr:pic>
      <xdr:nvPicPr>
        <xdr:cNvPr id="15" name="Pictur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09662" y="1783080"/>
          <a:ext cx="457200" cy="4572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11</xdr:col>
      <xdr:colOff>396240</xdr:colOff>
      <xdr:row>9</xdr:row>
      <xdr:rowOff>7620</xdr:rowOff>
    </xdr:from>
    <xdr:to>
      <xdr:col>13</xdr:col>
      <xdr:colOff>480060</xdr:colOff>
      <xdr:row>10</xdr:row>
      <xdr:rowOff>137160</xdr:rowOff>
    </xdr:to>
    <xdr:sp macro="" textlink="">
      <xdr:nvSpPr>
        <xdr:cNvPr id="16" name="TextBox 15"/>
        <xdr:cNvSpPr txBox="1"/>
      </xdr:nvSpPr>
      <xdr:spPr>
        <a:xfrm>
          <a:off x="7101840" y="1653540"/>
          <a:ext cx="1303020" cy="3124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r>
            <a:rPr lang="en-IN" sz="12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Franklin Gothic Medium" pitchFamily="34" charset="0"/>
            </a:rPr>
            <a:t>TOTAL QUANTITY</a:t>
          </a:r>
        </a:p>
      </xdr:txBody>
    </xdr:sp>
    <xdr:clientData/>
  </xdr:twoCellAnchor>
  <xdr:twoCellAnchor>
    <xdr:from>
      <xdr:col>15</xdr:col>
      <xdr:colOff>45720</xdr:colOff>
      <xdr:row>8</xdr:row>
      <xdr:rowOff>137160</xdr:rowOff>
    </xdr:from>
    <xdr:to>
      <xdr:col>17</xdr:col>
      <xdr:colOff>30480</xdr:colOff>
      <xdr:row>11</xdr:row>
      <xdr:rowOff>83820</xdr:rowOff>
    </xdr:to>
    <xdr:sp macro="" textlink="">
      <xdr:nvSpPr>
        <xdr:cNvPr id="35" name="TextBox 34"/>
        <xdr:cNvSpPr txBox="1"/>
      </xdr:nvSpPr>
      <xdr:spPr>
        <a:xfrm>
          <a:off x="9189720" y="1600200"/>
          <a:ext cx="1203960" cy="4953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r>
            <a:rPr lang="en-IN" sz="1200">
              <a:latin typeface="Franklin Gothic Medium" pitchFamily="34" charset="0"/>
            </a:rPr>
            <a:t>     </a:t>
          </a:r>
          <a:r>
            <a:rPr lang="en-IN" sz="12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Franklin Gothic Medium" pitchFamily="34" charset="0"/>
            </a:rPr>
            <a:t>AVERAGE </a:t>
          </a:r>
          <a:r>
            <a:rPr lang="en-IN" sz="1200" b="0" cap="none" spc="0" baseline="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Franklin Gothic Medium" pitchFamily="34" charset="0"/>
            </a:rPr>
            <a:t>ORDER VALUE </a:t>
          </a:r>
          <a:r>
            <a:rPr lang="en-IN" sz="1200" baseline="0">
              <a:latin typeface="Franklin Gothic Medium" pitchFamily="34" charset="0"/>
            </a:rPr>
            <a:t>      </a:t>
          </a:r>
        </a:p>
        <a:p>
          <a:endParaRPr lang="en-IN" sz="1200" baseline="0">
            <a:latin typeface="Franklin Gothic Medium" pitchFamily="34" charset="0"/>
          </a:endParaRPr>
        </a:p>
        <a:p>
          <a:r>
            <a:rPr lang="en-IN" sz="1200" baseline="0">
              <a:latin typeface="Franklin Gothic Medium" pitchFamily="34" charset="0"/>
            </a:rPr>
            <a:t>        </a:t>
          </a:r>
          <a:endParaRPr lang="en-IN" sz="1200">
            <a:latin typeface="Franklin Gothic Medium" pitchFamily="34" charset="0"/>
          </a:endParaRPr>
        </a:p>
      </xdr:txBody>
    </xdr:sp>
    <xdr:clientData/>
  </xdr:twoCellAnchor>
  <xdr:twoCellAnchor>
    <xdr:from>
      <xdr:col>11</xdr:col>
      <xdr:colOff>541020</xdr:colOff>
      <xdr:row>10</xdr:row>
      <xdr:rowOff>152400</xdr:rowOff>
    </xdr:from>
    <xdr:to>
      <xdr:col>13</xdr:col>
      <xdr:colOff>220980</xdr:colOff>
      <xdr:row>12</xdr:row>
      <xdr:rowOff>106680</xdr:rowOff>
    </xdr:to>
    <xdr:sp macro="" textlink="'Pivot data'!B13">
      <xdr:nvSpPr>
        <xdr:cNvPr id="17" name="Rectangle 16"/>
        <xdr:cNvSpPr/>
      </xdr:nvSpPr>
      <xdr:spPr>
        <a:xfrm>
          <a:off x="7246620" y="1981200"/>
          <a:ext cx="899160" cy="32004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32C455D-A092-4C44-91FA-0B345B61F9FF}" type="TxLink">
            <a:rPr lang="en-IN" sz="20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Bahnschrift SemiCondensed" pitchFamily="34" charset="0"/>
            </a:rPr>
            <a:pPr algn="ctr"/>
            <a:t>186</a:t>
          </a:fld>
          <a:endParaRPr lang="en-IN" sz="20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Bahnschrift SemiCondensed" pitchFamily="34" charset="0"/>
          </a:endParaRPr>
        </a:p>
      </xdr:txBody>
    </xdr:sp>
    <xdr:clientData/>
  </xdr:twoCellAnchor>
  <xdr:twoCellAnchor>
    <xdr:from>
      <xdr:col>15</xdr:col>
      <xdr:colOff>167640</xdr:colOff>
      <xdr:row>11</xdr:row>
      <xdr:rowOff>22860</xdr:rowOff>
    </xdr:from>
    <xdr:to>
      <xdr:col>16</xdr:col>
      <xdr:colOff>426720</xdr:colOff>
      <xdr:row>12</xdr:row>
      <xdr:rowOff>114300</xdr:rowOff>
    </xdr:to>
    <xdr:sp macro="" textlink="'Pivot data'!B16">
      <xdr:nvSpPr>
        <xdr:cNvPr id="36" name="Rectangle 35"/>
        <xdr:cNvSpPr/>
      </xdr:nvSpPr>
      <xdr:spPr>
        <a:xfrm>
          <a:off x="9311640" y="2034540"/>
          <a:ext cx="868680" cy="2743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495343F-1570-4C91-8C20-2BBF23336B2D}" type="TxLink">
            <a:rPr lang="en-IN" sz="20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Bahnschrift SemiCondensed" pitchFamily="34" charset="0"/>
            </a:rPr>
            <a:pPr algn="ctr"/>
            <a:t>₹ 520</a:t>
          </a:fld>
          <a:endParaRPr lang="en-IN" sz="20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latin typeface="Bahnschrift SemiCondensed" pitchFamily="34" charset="0"/>
          </a:endParaRPr>
        </a:p>
      </xdr:txBody>
    </xdr:sp>
    <xdr:clientData/>
  </xdr:twoCellAnchor>
  <xdr:twoCellAnchor editAs="oneCell">
    <xdr:from>
      <xdr:col>0</xdr:col>
      <xdr:colOff>266700</xdr:colOff>
      <xdr:row>14</xdr:row>
      <xdr:rowOff>83820</xdr:rowOff>
    </xdr:from>
    <xdr:to>
      <xdr:col>3</xdr:col>
      <xdr:colOff>237300</xdr:colOff>
      <xdr:row>29</xdr:row>
      <xdr:rowOff>45720</xdr:rowOff>
    </xdr:to>
    <mc:AlternateContent xmlns:mc="http://schemas.openxmlformats.org/markup-compatibility/2006" xmlns:a14="http://schemas.microsoft.com/office/drawing/2010/main">
      <mc:Choice Requires="a14">
        <xdr:graphicFrame macro="">
          <xdr:nvGraphicFramePr>
            <xdr:cNvPr id="38" name="SHIP_STATE 1"/>
            <xdr:cNvGraphicFramePr/>
          </xdr:nvGraphicFramePr>
          <xdr:xfrm>
            <a:off x="0" y="0"/>
            <a:ext cx="0" cy="0"/>
          </xdr:xfrm>
          <a:graphic>
            <a:graphicData uri="http://schemas.microsoft.com/office/drawing/2010/slicer">
              <sle:slicer xmlns:sle="http://schemas.microsoft.com/office/drawing/2010/slicer" name="SHIP_STATE 1"/>
            </a:graphicData>
          </a:graphic>
        </xdr:graphicFrame>
      </mc:Choice>
      <mc:Fallback xmlns="">
        <xdr:sp macro="" textlink="">
          <xdr:nvSpPr>
            <xdr:cNvPr id="0" name=""/>
            <xdr:cNvSpPr>
              <a:spLocks noTextEdit="1"/>
            </xdr:cNvSpPr>
          </xdr:nvSpPr>
          <xdr:spPr>
            <a:xfrm>
              <a:off x="266700" y="2644140"/>
              <a:ext cx="1905000" cy="278892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213360</xdr:colOff>
      <xdr:row>3</xdr:row>
      <xdr:rowOff>129541</xdr:rowOff>
    </xdr:from>
    <xdr:to>
      <xdr:col>7</xdr:col>
      <xdr:colOff>364560</xdr:colOff>
      <xdr:row>7</xdr:row>
      <xdr:rowOff>118021</xdr:rowOff>
    </xdr:to>
    <mc:AlternateContent xmlns:mc="http://schemas.openxmlformats.org/markup-compatibility/2006" xmlns:a14="http://schemas.microsoft.com/office/drawing/2010/main">
      <mc:Choice Requires="a14">
        <xdr:graphicFrame macro="">
          <xdr:nvGraphicFramePr>
            <xdr:cNvPr id="41" name="Order Years 1"/>
            <xdr:cNvGraphicFramePr/>
          </xdr:nvGraphicFramePr>
          <xdr:xfrm>
            <a:off x="0" y="0"/>
            <a:ext cx="0" cy="0"/>
          </xdr:xfrm>
          <a:graphic>
            <a:graphicData uri="http://schemas.microsoft.com/office/drawing/2010/slicer">
              <sle:slicer xmlns:sle="http://schemas.microsoft.com/office/drawing/2010/slicer" name="Order Years 1"/>
            </a:graphicData>
          </a:graphic>
        </xdr:graphicFrame>
      </mc:Choice>
      <mc:Fallback xmlns="">
        <xdr:sp macro="" textlink="">
          <xdr:nvSpPr>
            <xdr:cNvPr id="0" name=""/>
            <xdr:cNvSpPr>
              <a:spLocks noTextEdit="1"/>
            </xdr:cNvSpPr>
          </xdr:nvSpPr>
          <xdr:spPr>
            <a:xfrm>
              <a:off x="2651760" y="678181"/>
              <a:ext cx="1980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144780</xdr:colOff>
      <xdr:row>3</xdr:row>
      <xdr:rowOff>160020</xdr:rowOff>
    </xdr:from>
    <xdr:to>
      <xdr:col>12</xdr:col>
      <xdr:colOff>295980</xdr:colOff>
      <xdr:row>7</xdr:row>
      <xdr:rowOff>148500</xdr:rowOff>
    </xdr:to>
    <mc:AlternateContent xmlns:mc="http://schemas.openxmlformats.org/markup-compatibility/2006" xmlns:a14="http://schemas.microsoft.com/office/drawing/2010/main">
      <mc:Choice Requires="a14">
        <xdr:graphicFrame macro="">
          <xdr:nvGraphicFramePr>
            <xdr:cNvPr id="46" name="PAYMENT 1"/>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5631180" y="708660"/>
              <a:ext cx="1980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3</xdr:row>
      <xdr:rowOff>129540</xdr:rowOff>
    </xdr:from>
    <xdr:to>
      <xdr:col>16</xdr:col>
      <xdr:colOff>577920</xdr:colOff>
      <xdr:row>7</xdr:row>
      <xdr:rowOff>118020</xdr:rowOff>
    </xdr:to>
    <mc:AlternateContent xmlns:mc="http://schemas.openxmlformats.org/markup-compatibility/2006" xmlns:a14="http://schemas.microsoft.com/office/drawing/2010/main">
      <mc:Choice Requires="a14">
        <xdr:graphicFrame macro="">
          <xdr:nvGraphicFramePr>
            <xdr:cNvPr id="47" name="ORDER_STATUS 1"/>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8351520" y="678180"/>
              <a:ext cx="1980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17</xdr:col>
      <xdr:colOff>304800</xdr:colOff>
      <xdr:row>0</xdr:row>
      <xdr:rowOff>91440</xdr:rowOff>
    </xdr:from>
    <xdr:to>
      <xdr:col>22</xdr:col>
      <xdr:colOff>464820</xdr:colOff>
      <xdr:row>9</xdr:row>
      <xdr:rowOff>160020</xdr:rowOff>
    </xdr:to>
    <xdr:graphicFrame macro="">
      <xdr:nvGraphicFramePr>
        <xdr:cNvPr id="43" name="Chart 42" title="SALES BY YEA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518160</xdr:colOff>
      <xdr:row>13</xdr:row>
      <xdr:rowOff>175260</xdr:rowOff>
    </xdr:from>
    <xdr:to>
      <xdr:col>10</xdr:col>
      <xdr:colOff>388620</xdr:colOff>
      <xdr:row>30</xdr:row>
      <xdr:rowOff>83820</xdr:rowOff>
    </xdr:to>
    <xdr:sp macro="" textlink="">
      <xdr:nvSpPr>
        <xdr:cNvPr id="9" name="Rectangle 8"/>
        <xdr:cNvSpPr/>
      </xdr:nvSpPr>
      <xdr:spPr>
        <a:xfrm>
          <a:off x="2346960" y="2552700"/>
          <a:ext cx="4137660" cy="3017520"/>
        </a:xfrm>
        <a:prstGeom prst="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30480</xdr:colOff>
      <xdr:row>14</xdr:row>
      <xdr:rowOff>30480</xdr:rowOff>
    </xdr:from>
    <xdr:to>
      <xdr:col>5</xdr:col>
      <xdr:colOff>236220</xdr:colOff>
      <xdr:row>15</xdr:row>
      <xdr:rowOff>76200</xdr:rowOff>
    </xdr:to>
    <xdr:sp macro="" textlink="">
      <xdr:nvSpPr>
        <xdr:cNvPr id="10" name="TextBox 9"/>
        <xdr:cNvSpPr txBox="1"/>
      </xdr:nvSpPr>
      <xdr:spPr>
        <a:xfrm>
          <a:off x="2468880" y="2590800"/>
          <a:ext cx="815340" cy="2286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100" b="1" cap="none" spc="0">
              <a:ln w="17780" cmpd="sng">
                <a:noFill/>
                <a:prstDash val="solid"/>
                <a:miter lim="800000"/>
              </a:ln>
              <a:solidFill>
                <a:schemeClr val="tx1"/>
              </a:solidFill>
              <a:effectLst>
                <a:outerShdw blurRad="50800" algn="tl" rotWithShape="0">
                  <a:srgbClr val="000000"/>
                </a:outerShdw>
              </a:effectLst>
            </a:rPr>
            <a:t>CATEGORY</a:t>
          </a:r>
        </a:p>
      </xdr:txBody>
    </xdr:sp>
    <xdr:clientData/>
  </xdr:twoCellAnchor>
  <xdr:twoCellAnchor>
    <xdr:from>
      <xdr:col>3</xdr:col>
      <xdr:colOff>579120</xdr:colOff>
      <xdr:row>16</xdr:row>
      <xdr:rowOff>7620</xdr:rowOff>
    </xdr:from>
    <xdr:to>
      <xdr:col>7</xdr:col>
      <xdr:colOff>106680</xdr:colOff>
      <xdr:row>16</xdr:row>
      <xdr:rowOff>129540</xdr:rowOff>
    </xdr:to>
    <xdr:cxnSp macro="">
      <xdr:nvCxnSpPr>
        <xdr:cNvPr id="13" name="Straight Connector 12"/>
        <xdr:cNvCxnSpPr/>
      </xdr:nvCxnSpPr>
      <xdr:spPr>
        <a:xfrm>
          <a:off x="2407920" y="2933700"/>
          <a:ext cx="1965960" cy="1219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525780</xdr:colOff>
      <xdr:row>14</xdr:row>
      <xdr:rowOff>53340</xdr:rowOff>
    </xdr:from>
    <xdr:to>
      <xdr:col>10</xdr:col>
      <xdr:colOff>480060</xdr:colOff>
      <xdr:row>30</xdr:row>
      <xdr:rowOff>19050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251460</xdr:colOff>
      <xdr:row>0</xdr:row>
      <xdr:rowOff>144780</xdr:rowOff>
    </xdr:from>
    <xdr:to>
      <xdr:col>3</xdr:col>
      <xdr:colOff>220980</xdr:colOff>
      <xdr:row>14</xdr:row>
      <xdr:rowOff>60960</xdr:rowOff>
    </xdr:to>
    <mc:AlternateContent xmlns:mc="http://schemas.openxmlformats.org/markup-compatibility/2006" xmlns:a14="http://schemas.microsoft.com/office/drawing/2010/main">
      <mc:Choice Requires="a14">
        <xdr:graphicFrame macro="">
          <xdr:nvGraphicFramePr>
            <xdr:cNvPr id="40" name="ORDER_MONTH 1"/>
            <xdr:cNvGraphicFramePr/>
          </xdr:nvGraphicFramePr>
          <xdr:xfrm>
            <a:off x="0" y="0"/>
            <a:ext cx="0" cy="0"/>
          </xdr:xfrm>
          <a:graphic>
            <a:graphicData uri="http://schemas.microsoft.com/office/drawing/2010/slicer">
              <sle:slicer xmlns:sle="http://schemas.microsoft.com/office/drawing/2010/slicer" name="ORDER_MONTH 1"/>
            </a:graphicData>
          </a:graphic>
        </xdr:graphicFrame>
      </mc:Choice>
      <mc:Fallback xmlns="">
        <xdr:sp macro="" textlink="">
          <xdr:nvSpPr>
            <xdr:cNvPr id="0" name=""/>
            <xdr:cNvSpPr>
              <a:spLocks noTextEdit="1"/>
            </xdr:cNvSpPr>
          </xdr:nvSpPr>
          <xdr:spPr>
            <a:xfrm>
              <a:off x="251460" y="144780"/>
              <a:ext cx="1798320"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10</xdr:col>
      <xdr:colOff>464820</xdr:colOff>
      <xdr:row>14</xdr:row>
      <xdr:rowOff>114300</xdr:rowOff>
    </xdr:from>
    <xdr:to>
      <xdr:col>17</xdr:col>
      <xdr:colOff>114300</xdr:colOff>
      <xdr:row>29</xdr:row>
      <xdr:rowOff>106680</xdr:rowOff>
    </xdr:to>
    <xdr:sp macro="" textlink="">
      <xdr:nvSpPr>
        <xdr:cNvPr id="18" name="Rectangle 17"/>
        <xdr:cNvSpPr/>
      </xdr:nvSpPr>
      <xdr:spPr>
        <a:xfrm>
          <a:off x="6560820" y="2674620"/>
          <a:ext cx="3916680" cy="273558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541020</xdr:colOff>
      <xdr:row>14</xdr:row>
      <xdr:rowOff>175260</xdr:rowOff>
    </xdr:from>
    <xdr:to>
      <xdr:col>12</xdr:col>
      <xdr:colOff>419100</xdr:colOff>
      <xdr:row>16</xdr:row>
      <xdr:rowOff>45720</xdr:rowOff>
    </xdr:to>
    <xdr:sp macro="" textlink="">
      <xdr:nvSpPr>
        <xdr:cNvPr id="19" name="Rectangle 18"/>
        <xdr:cNvSpPr/>
      </xdr:nvSpPr>
      <xdr:spPr>
        <a:xfrm>
          <a:off x="6637020" y="2735580"/>
          <a:ext cx="1097280" cy="2362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twoCellAnchor>
  <xdr:twoCellAnchor>
    <xdr:from>
      <xdr:col>11</xdr:col>
      <xdr:colOff>7620</xdr:colOff>
      <xdr:row>14</xdr:row>
      <xdr:rowOff>121920</xdr:rowOff>
    </xdr:from>
    <xdr:to>
      <xdr:col>12</xdr:col>
      <xdr:colOff>144780</xdr:colOff>
      <xdr:row>16</xdr:row>
      <xdr:rowOff>30480</xdr:rowOff>
    </xdr:to>
    <xdr:sp macro="" textlink="">
      <xdr:nvSpPr>
        <xdr:cNvPr id="20" name="TextBox 19"/>
        <xdr:cNvSpPr txBox="1"/>
      </xdr:nvSpPr>
      <xdr:spPr>
        <a:xfrm>
          <a:off x="6713220" y="2682240"/>
          <a:ext cx="746760" cy="2743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2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rPr>
            <a:t> STATES </a:t>
          </a:r>
        </a:p>
      </xdr:txBody>
    </xdr:sp>
    <xdr:clientData/>
  </xdr:twoCellAnchor>
  <xdr:twoCellAnchor>
    <xdr:from>
      <xdr:col>10</xdr:col>
      <xdr:colOff>487680</xdr:colOff>
      <xdr:row>16</xdr:row>
      <xdr:rowOff>38100</xdr:rowOff>
    </xdr:from>
    <xdr:to>
      <xdr:col>17</xdr:col>
      <xdr:colOff>91440</xdr:colOff>
      <xdr:row>29</xdr:row>
      <xdr:rowOff>91440</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541020</xdr:colOff>
      <xdr:row>0</xdr:row>
      <xdr:rowOff>160020</xdr:rowOff>
    </xdr:from>
    <xdr:to>
      <xdr:col>22</xdr:col>
      <xdr:colOff>419100</xdr:colOff>
      <xdr:row>2</xdr:row>
      <xdr:rowOff>68580</xdr:rowOff>
    </xdr:to>
    <xdr:sp macro="" textlink="">
      <xdr:nvSpPr>
        <xdr:cNvPr id="12" name="TextBox 11"/>
        <xdr:cNvSpPr txBox="1"/>
      </xdr:nvSpPr>
      <xdr:spPr>
        <a:xfrm>
          <a:off x="12733020" y="160020"/>
          <a:ext cx="1097280" cy="2743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lang="en-IN" sz="1200" b="0" cap="none" spc="0">
              <a:ln w="10160">
                <a:solidFill>
                  <a:sysClr val="windowText" lastClr="000000"/>
                </a:solidFill>
                <a:prstDash val="solid"/>
              </a:ln>
              <a:solidFill>
                <a:schemeClr val="tx1"/>
              </a:solidFill>
              <a:effectLst>
                <a:outerShdw blurRad="38100" dist="32000" dir="5400000" algn="tl">
                  <a:srgbClr val="000000">
                    <a:alpha val="30000"/>
                  </a:srgbClr>
                </a:outerShdw>
              </a:effectLst>
            </a:rPr>
            <a:t>SALES BY YEAR</a:t>
          </a:r>
          <a:endParaRPr lang="en-IN" sz="1200" b="0" cap="none" spc="0">
            <a:ln w="10160">
              <a:solidFill>
                <a:sysClr val="windowText" lastClr="000000"/>
              </a:solidFill>
              <a:prstDash val="solid"/>
            </a:ln>
            <a:solidFill>
              <a:schemeClr val="tx1"/>
            </a:solidFill>
            <a:effectLst>
              <a:outerShdw blurRad="63500" dir="3600000" algn="tl" rotWithShape="0">
                <a:srgbClr val="000000">
                  <a:alpha val="70000"/>
                </a:srgbClr>
              </a:outerShdw>
            </a:effectLst>
          </a:endParaRPr>
        </a:p>
      </xdr:txBody>
    </xdr:sp>
    <xdr:clientData/>
  </xdr:twoCellAnchor>
  <xdr:twoCellAnchor>
    <xdr:from>
      <xdr:col>17</xdr:col>
      <xdr:colOff>350520</xdr:colOff>
      <xdr:row>9</xdr:row>
      <xdr:rowOff>129540</xdr:rowOff>
    </xdr:from>
    <xdr:to>
      <xdr:col>23</xdr:col>
      <xdr:colOff>0</xdr:colOff>
      <xdr:row>21</xdr:row>
      <xdr:rowOff>83820</xdr:rowOff>
    </xdr:to>
    <xdr:sp macro="" textlink="">
      <xdr:nvSpPr>
        <xdr:cNvPr id="14" name="Rectangle 13"/>
        <xdr:cNvSpPr/>
      </xdr:nvSpPr>
      <xdr:spPr>
        <a:xfrm>
          <a:off x="10713720" y="1775460"/>
          <a:ext cx="3307080" cy="214884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45720</xdr:colOff>
      <xdr:row>10</xdr:row>
      <xdr:rowOff>7620</xdr:rowOff>
    </xdr:from>
    <xdr:to>
      <xdr:col>19</xdr:col>
      <xdr:colOff>274320</xdr:colOff>
      <xdr:row>11</xdr:row>
      <xdr:rowOff>106680</xdr:rowOff>
    </xdr:to>
    <xdr:sp macro="" textlink="">
      <xdr:nvSpPr>
        <xdr:cNvPr id="25" name="TextBox 24"/>
        <xdr:cNvSpPr txBox="1"/>
      </xdr:nvSpPr>
      <xdr:spPr>
        <a:xfrm>
          <a:off x="11018520" y="1836420"/>
          <a:ext cx="838200" cy="2819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cap="none" spc="0">
              <a:ln w="10160">
                <a:solidFill>
                  <a:sysClr val="windowText" lastClr="000000"/>
                </a:solidFill>
                <a:prstDash val="solid"/>
              </a:ln>
              <a:solidFill>
                <a:schemeClr val="tx1"/>
              </a:solidFill>
              <a:effectLst>
                <a:outerShdw blurRad="38100" dist="32000" dir="5400000" algn="tl">
                  <a:srgbClr val="000000">
                    <a:alpha val="30000"/>
                  </a:srgbClr>
                </a:outerShdw>
              </a:effectLst>
            </a:rPr>
            <a:t>PAYMENT</a:t>
          </a:r>
        </a:p>
      </xdr:txBody>
    </xdr:sp>
    <xdr:clientData/>
  </xdr:twoCellAnchor>
  <xdr:twoCellAnchor>
    <xdr:from>
      <xdr:col>20</xdr:col>
      <xdr:colOff>472440</xdr:colOff>
      <xdr:row>10</xdr:row>
      <xdr:rowOff>38100</xdr:rowOff>
    </xdr:from>
    <xdr:to>
      <xdr:col>22</xdr:col>
      <xdr:colOff>449580</xdr:colOff>
      <xdr:row>11</xdr:row>
      <xdr:rowOff>152400</xdr:rowOff>
    </xdr:to>
    <xdr:sp macro="" textlink="">
      <xdr:nvSpPr>
        <xdr:cNvPr id="49" name="TextBox 48"/>
        <xdr:cNvSpPr txBox="1"/>
      </xdr:nvSpPr>
      <xdr:spPr>
        <a:xfrm>
          <a:off x="12664440" y="1866900"/>
          <a:ext cx="1196340" cy="2971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rPr>
            <a:t>ORDER_STATUS</a:t>
          </a:r>
        </a:p>
      </xdr:txBody>
    </xdr:sp>
    <xdr:clientData/>
  </xdr:twoCellAnchor>
  <xdr:twoCellAnchor>
    <xdr:from>
      <xdr:col>17</xdr:col>
      <xdr:colOff>350520</xdr:colOff>
      <xdr:row>12</xdr:row>
      <xdr:rowOff>45720</xdr:rowOff>
    </xdr:from>
    <xdr:to>
      <xdr:col>20</xdr:col>
      <xdr:colOff>106680</xdr:colOff>
      <xdr:row>20</xdr:row>
      <xdr:rowOff>167640</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144780</xdr:colOff>
      <xdr:row>12</xdr:row>
      <xdr:rowOff>45720</xdr:rowOff>
    </xdr:from>
    <xdr:to>
      <xdr:col>22</xdr:col>
      <xdr:colOff>571500</xdr:colOff>
      <xdr:row>20</xdr:row>
      <xdr:rowOff>175260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388620</xdr:colOff>
      <xdr:row>21</xdr:row>
      <xdr:rowOff>30480</xdr:rowOff>
    </xdr:from>
    <xdr:to>
      <xdr:col>22</xdr:col>
      <xdr:colOff>586740</xdr:colOff>
      <xdr:row>30</xdr:row>
      <xdr:rowOff>15240</xdr:rowOff>
    </xdr:to>
    <xdr:sp macro="" textlink="">
      <xdr:nvSpPr>
        <xdr:cNvPr id="28" name="Rectangle 27"/>
        <xdr:cNvSpPr/>
      </xdr:nvSpPr>
      <xdr:spPr>
        <a:xfrm>
          <a:off x="10751820" y="3870960"/>
          <a:ext cx="3246120" cy="163068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495300</xdr:colOff>
      <xdr:row>21</xdr:row>
      <xdr:rowOff>76200</xdr:rowOff>
    </xdr:from>
    <xdr:to>
      <xdr:col>20</xdr:col>
      <xdr:colOff>15240</xdr:colOff>
      <xdr:row>22</xdr:row>
      <xdr:rowOff>121920</xdr:rowOff>
    </xdr:to>
    <xdr:sp macro="" textlink="">
      <xdr:nvSpPr>
        <xdr:cNvPr id="34" name="TextBox 33"/>
        <xdr:cNvSpPr txBox="1"/>
      </xdr:nvSpPr>
      <xdr:spPr>
        <a:xfrm>
          <a:off x="10858500" y="3916680"/>
          <a:ext cx="1348740" cy="2286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cap="none" spc="0" baseline="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rPr>
            <a:t> MONTHLY  TREND</a:t>
          </a:r>
          <a:endParaRPr lang="en-IN" sz="12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endParaRPr>
        </a:p>
      </xdr:txBody>
    </xdr:sp>
    <xdr:clientData/>
  </xdr:twoCellAnchor>
  <xdr:twoCellAnchor>
    <xdr:from>
      <xdr:col>17</xdr:col>
      <xdr:colOff>411480</xdr:colOff>
      <xdr:row>23</xdr:row>
      <xdr:rowOff>0</xdr:rowOff>
    </xdr:from>
    <xdr:to>
      <xdr:col>22</xdr:col>
      <xdr:colOff>518160</xdr:colOff>
      <xdr:row>29</xdr:row>
      <xdr:rowOff>83820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320040</xdr:colOff>
      <xdr:row>30</xdr:row>
      <xdr:rowOff>137160</xdr:rowOff>
    </xdr:from>
    <xdr:to>
      <xdr:col>22</xdr:col>
      <xdr:colOff>495300</xdr:colOff>
      <xdr:row>40</xdr:row>
      <xdr:rowOff>15240</xdr:rowOff>
    </xdr:to>
    <xdr:sp macro="" textlink="">
      <xdr:nvSpPr>
        <xdr:cNvPr id="44" name="Rectangle 43"/>
        <xdr:cNvSpPr/>
      </xdr:nvSpPr>
      <xdr:spPr>
        <a:xfrm>
          <a:off x="320040" y="5623560"/>
          <a:ext cx="13586460" cy="170688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426720</xdr:colOff>
      <xdr:row>30</xdr:row>
      <xdr:rowOff>121920</xdr:rowOff>
    </xdr:from>
    <xdr:to>
      <xdr:col>22</xdr:col>
      <xdr:colOff>327660</xdr:colOff>
      <xdr:row>38</xdr:row>
      <xdr:rowOff>121920</xdr:rowOff>
    </xdr:to>
    <xdr:sp macro="" textlink="">
      <xdr:nvSpPr>
        <xdr:cNvPr id="50" name="TextBox 49"/>
        <xdr:cNvSpPr txBox="1"/>
      </xdr:nvSpPr>
      <xdr:spPr>
        <a:xfrm>
          <a:off x="426720" y="5608320"/>
          <a:ext cx="13312140" cy="14630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 </a:t>
          </a:r>
          <a:r>
            <a:rPr lang="en-IN" sz="1200" b="1" u="sng"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DASHBOARD </a:t>
          </a:r>
          <a:r>
            <a:rPr lang="en-IN" sz="1200" b="1" u="sng" cap="none" spc="5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INSIGHTS</a:t>
          </a:r>
          <a:endParaRPr lang="en-IN" sz="1400" b="1" u="sng" cap="none" spc="5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endParaRPr>
        </a:p>
        <a:p>
          <a:r>
            <a:rPr lang="en-IN" sz="1400" b="0" cap="none" spc="5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1.</a:t>
          </a:r>
          <a:r>
            <a:rPr lang="en-IN" sz="14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 </a:t>
          </a:r>
          <a:r>
            <a:rPr lang="en-IN" sz="1400" b="1"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Maharashtra</a:t>
          </a:r>
          <a:r>
            <a:rPr lang="en-IN" sz="14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 recorded the highest sales.</a:t>
          </a:r>
        </a:p>
        <a:p>
          <a:r>
            <a:rPr lang="en-IN" sz="14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2. </a:t>
          </a:r>
          <a:r>
            <a:rPr lang="en-IN" sz="1400" b="1"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Piggy coin Bank </a:t>
          </a:r>
          <a:r>
            <a:rPr lang="en-IN" sz="14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generated the highest revenue.</a:t>
          </a:r>
        </a:p>
        <a:p>
          <a:r>
            <a:rPr lang="en-IN" sz="14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3. Sales peaked during </a:t>
          </a:r>
          <a:r>
            <a:rPr lang="en-IN" sz="1400" b="1"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December</a:t>
          </a:r>
          <a:r>
            <a:rPr lang="en-IN" sz="14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a:t>
          </a:r>
        </a:p>
        <a:p>
          <a:r>
            <a:rPr lang="en-IN" sz="14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4. </a:t>
          </a:r>
          <a:r>
            <a:rPr lang="en-IN" sz="1400" b="1"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Delivered orders </a:t>
          </a:r>
          <a:r>
            <a:rPr lang="en-IN" sz="14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significantly exceeded returned orders.</a:t>
          </a:r>
        </a:p>
        <a:p>
          <a:r>
            <a:rPr lang="en-IN" sz="14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5.Customers preferred </a:t>
          </a:r>
          <a:r>
            <a:rPr lang="en-IN" sz="1400" b="1"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prepaid </a:t>
          </a:r>
          <a:r>
            <a:rPr lang="en-IN" sz="14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payments over Cash on Delivery(COD). </a:t>
          </a:r>
          <a:r>
            <a:rPr lang="en-IN" sz="12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mj-lt"/>
            </a:rPr>
            <a:t>	</a:t>
          </a:r>
          <a:r>
            <a:rPr lang="en-IN" sz="1200" b="0"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Bahnschrift SemiBold SemiConden" pitchFamily="34" charset="0"/>
            </a:rPr>
            <a:t>		   	    					          					</a:t>
          </a:r>
          <a:r>
            <a:rPr lang="en-IN" sz="1200" b="1"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Bahnschrift SemiBold SemiConden" pitchFamily="34" charset="0"/>
            </a:rPr>
            <a:t>							                   						</a:t>
          </a:r>
        </a:p>
        <a:p>
          <a:endParaRPr lang="en-IN" sz="1200" b="1" cap="none" spc="50" baseline="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Bahnschrift SemiBold SemiConden" pitchFamily="34" charset="0"/>
          </a:endParaRPr>
        </a:p>
        <a:p>
          <a:endParaRPr lang="en-IN" sz="1200" b="1" cap="none" spc="5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Bahnschrift SemiBold SemiConden" pitchFamily="34" charset="0"/>
          </a:endParaRPr>
        </a:p>
        <a:p>
          <a:endParaRPr lang="en-IN" sz="1200" b="1" cap="none" spc="50">
            <a:ln w="13500">
              <a:solidFill>
                <a:schemeClr val="accent1">
                  <a:shade val="2500"/>
                  <a:alpha val="6500"/>
                </a:schemeClr>
              </a:solidFill>
              <a:prstDash val="solid"/>
            </a:ln>
            <a:solidFill>
              <a:schemeClr val="tx1">
                <a:alpha val="95000"/>
              </a:schemeClr>
            </a:solidFill>
            <a:effectLst>
              <a:innerShdw blurRad="50900" dist="38500" dir="13500000">
                <a:srgbClr val="000000">
                  <a:alpha val="60000"/>
                </a:srgbClr>
              </a:innerShdw>
            </a:effectLst>
            <a:latin typeface="Bahnschrift SemiBold SemiConden"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0.01203</cdr:x>
      <cdr:y>0.01054</cdr:y>
    </cdr:from>
    <cdr:to>
      <cdr:x>0.22744</cdr:x>
      <cdr:y>0.11858</cdr:y>
    </cdr:to>
    <cdr:sp macro="" textlink="">
      <cdr:nvSpPr>
        <cdr:cNvPr id="3" name="TextBox 19"/>
        <cdr:cNvSpPr txBox="1"/>
      </cdr:nvSpPr>
      <cdr:spPr>
        <a:xfrm xmlns:a="http://schemas.openxmlformats.org/drawingml/2006/main">
          <a:off x="50800" y="30480"/>
          <a:ext cx="909320" cy="312420"/>
        </a:xfrm>
        <a:prstGeom xmlns:a="http://schemas.openxmlformats.org/drawingml/2006/main" prst="rect">
          <a:avLst/>
        </a:prstGeom>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sz="1200" b="0" cap="none" spc="0">
              <a:ln w="10160">
                <a:solidFill>
                  <a:sysClr val="windowText" lastClr="000000"/>
                </a:solidFill>
                <a:prstDash val="solid"/>
              </a:ln>
              <a:solidFill>
                <a:sysClr val="windowText" lastClr="000000"/>
              </a:solidFill>
              <a:effectLst>
                <a:outerShdw blurRad="38100" dist="32000" dir="5400000" algn="tl">
                  <a:srgbClr val="000000">
                    <a:alpha val="30000"/>
                  </a:srgbClr>
                </a:outerShdw>
              </a:effectLst>
            </a:rPr>
            <a:t>CATEGORY</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185.335549421296" missingItemsLimit="0" createdVersion="4" refreshedVersion="4" minRefreshableVersion="3" recordCount="171">
  <cacheSource type="worksheet">
    <worksheetSource name="Amazon_sales"/>
  </cacheSource>
  <cacheFields count="16">
    <cacheField name="ORDER_NO." numFmtId="49">
      <sharedItems/>
    </cacheField>
    <cacheField name="ORDER_DATE" numFmtId="14">
      <sharedItems containsSemiMixedTypes="0" containsNonDate="0" containsDate="1" containsString="0" minDate="2021-06-13T00:00:00" maxDate="2022-02-26T00:00:00" count="117">
        <d v="2021-07-18T00:00:00"/>
        <d v="2021-10-19T00:00:00"/>
        <d v="2021-11-28T00:00:00"/>
        <d v="2021-07-28T00:00:00"/>
        <d v="2021-09-28T00:00:00"/>
        <d v="2021-06-17T00:00:00"/>
        <d v="2021-08-12T00:00:00"/>
        <d v="2021-09-29T00:00:00"/>
        <d v="2021-11-13T00:00:00"/>
        <d v="2021-08-09T00:00:00"/>
        <d v="2021-09-04T00:00:00"/>
        <d v="2021-11-16T00:00:00"/>
        <d v="2021-10-16T00:00:00"/>
        <d v="2021-10-04T00:00:00"/>
        <d v="2021-10-14T00:00:00"/>
        <d v="2021-09-05T00:00:00"/>
        <d v="2021-08-25T00:00:00"/>
        <d v="2021-11-27T00:00:00"/>
        <d v="2021-11-21T00:00:00"/>
        <d v="2021-10-01T00:00:00"/>
        <d v="2021-09-10T00:00:00"/>
        <d v="2021-11-10T00:00:00"/>
        <d v="2021-11-26T00:00:00"/>
        <d v="2021-10-20T00:00:00"/>
        <d v="2021-06-25T00:00:00"/>
        <d v="2021-09-06T00:00:00"/>
        <d v="2021-07-22T00:00:00"/>
        <d v="2021-10-29T00:00:00"/>
        <d v="2021-09-20T00:00:00"/>
        <d v="2021-08-04T00:00:00"/>
        <d v="2021-10-11T00:00:00"/>
        <d v="2021-09-18T00:00:00"/>
        <d v="2021-10-28T00:00:00"/>
        <d v="2021-09-07T00:00:00"/>
        <d v="2021-09-02T00:00:00"/>
        <d v="2021-11-01T00:00:00"/>
        <d v="2021-10-31T00:00:00"/>
        <d v="2021-08-06T00:00:00"/>
        <d v="2021-08-13T00:00:00"/>
        <d v="2021-10-05T00:00:00"/>
        <d v="2021-08-16T00:00:00"/>
        <d v="2021-08-24T00:00:00"/>
        <d v="2021-06-16T00:00:00"/>
        <d v="2021-10-22T00:00:00"/>
        <d v="2021-10-26T00:00:00"/>
        <d v="2021-10-15T00:00:00"/>
        <d v="2021-11-04T00:00:00"/>
        <d v="2021-11-11T00:00:00"/>
        <d v="2021-06-13T00:00:00"/>
        <d v="2021-11-29T00:00:00"/>
        <d v="2021-06-28T00:00:00"/>
        <d v="2021-11-09T00:00:00"/>
        <d v="2021-11-07T00:00:00"/>
        <d v="2021-06-23T00:00:00"/>
        <d v="2021-09-19T00:00:00"/>
        <d v="2021-10-10T00:00:00"/>
        <d v="2021-07-29T00:00:00"/>
        <d v="2021-07-21T00:00:00"/>
        <d v="2021-11-12T00:00:00"/>
        <d v="2021-07-13T00:00:00"/>
        <d v="2021-09-23T00:00:00"/>
        <d v="2021-10-24T00:00:00"/>
        <d v="2021-11-18T00:00:00"/>
        <d v="2021-09-01T00:00:00"/>
        <d v="2021-11-20T00:00:00"/>
        <d v="2021-08-29T00:00:00"/>
        <d v="2021-10-17T00:00:00"/>
        <d v="2021-10-07T00:00:00"/>
        <d v="2021-11-15T00:00:00"/>
        <d v="2021-07-26T00:00:00"/>
        <d v="2021-08-20T00:00:00"/>
        <d v="2021-11-25T00:00:00"/>
        <d v="2021-08-18T00:00:00"/>
        <d v="2021-09-16T00:00:00"/>
        <d v="2021-10-09T00:00:00"/>
        <d v="2021-08-08T00:00:00"/>
        <d v="2022-02-25T00:00:00"/>
        <d v="2022-01-27T00:00:00"/>
        <d v="2022-01-30T00:00:00"/>
        <d v="2022-01-25T00:00:00"/>
        <d v="2022-01-03T00:00:00"/>
        <d v="2021-12-23T00:00:00"/>
        <d v="2022-02-10T00:00:00"/>
        <d v="2021-12-26T00:00:00"/>
        <d v="2022-01-19T00:00:00"/>
        <d v="2021-12-09T00:00:00"/>
        <d v="2021-12-17T00:00:00"/>
        <d v="2021-12-08T00:00:00"/>
        <d v="2022-01-23T00:00:00"/>
        <d v="2021-12-06T00:00:00"/>
        <d v="2021-12-21T00:00:00"/>
        <d v="2021-12-01T00:00:00"/>
        <d v="2022-02-04T00:00:00"/>
        <d v="2021-12-13T00:00:00"/>
        <d v="2022-02-02T00:00:00"/>
        <d v="2021-12-04T00:00:00"/>
        <d v="2021-12-29T00:00:00"/>
        <d v="2022-01-11T00:00:00"/>
        <d v="2022-01-20T00:00:00"/>
        <d v="2022-02-14T00:00:00"/>
        <d v="2021-12-10T00:00:00"/>
        <d v="2022-01-02T00:00:00"/>
        <d v="2021-11-30T00:00:00"/>
        <d v="2021-12-31T00:00:00"/>
        <d v="2022-01-16T00:00:00"/>
        <d v="2022-02-23T00:00:00"/>
        <d v="2022-02-09T00:00:00"/>
        <d v="2022-01-13T00:00:00"/>
        <d v="2021-12-20T00:00:00"/>
        <d v="2022-01-09T00:00:00"/>
        <d v="2021-12-19T00:00:00"/>
        <d v="2022-02-21T00:00:00"/>
        <d v="2021-12-15T00:00:00"/>
        <d v="2022-02-01T00:00:00"/>
        <d v="2021-12-12T00:00:00"/>
        <d v="2022-02-17T00:00:00"/>
        <d v="2021-12-25T00:00:00"/>
      </sharedItems>
      <fieldGroup par="15" base="1">
        <rangePr groupBy="months" startDate="2021-06-13T00:00:00" endDate="2022-02-26T00:00:00"/>
        <groupItems count="14">
          <s v="&lt;13-06-2021"/>
          <s v="Jan"/>
          <s v="Feb"/>
          <s v="Mar"/>
          <s v="Apr"/>
          <s v="May"/>
          <s v="Jun"/>
          <s v="Jul"/>
          <s v="Aug"/>
          <s v="Sep"/>
          <s v="Oct"/>
          <s v="Nov"/>
          <s v="Dec"/>
          <s v="&gt;26-02-2022"/>
        </groupItems>
      </fieldGroup>
    </cacheField>
    <cacheField name="ORDER_TIME" numFmtId="166">
      <sharedItems/>
    </cacheField>
    <cacheField name="ORDER_DAYS" numFmtId="0">
      <sharedItems count="7">
        <s v="Sun"/>
        <s v="Tue"/>
        <s v="Wed"/>
        <s v="Thu"/>
        <s v="Sat"/>
        <s v="Mon"/>
        <s v="Fri"/>
      </sharedItems>
    </cacheField>
    <cacheField name="ORDER_MONTH" numFmtId="0">
      <sharedItems count="9">
        <s v="Jul"/>
        <s v="Oct"/>
        <s v="Nov"/>
        <s v="Sep"/>
        <s v="Jun"/>
        <s v="Aug"/>
        <s v="Feb"/>
        <s v="Jan"/>
        <s v="Dec"/>
      </sharedItems>
    </cacheField>
    <cacheField name="BUYER" numFmtId="0">
      <sharedItems/>
    </cacheField>
    <cacheField name="SHIP_CITY" numFmtId="0">
      <sharedItems count="73">
        <s v="Chandigarh"/>
        <s v="Pasighat"/>
        <s v="Devarakonda"/>
        <s v="Mumbai"/>
        <s v="Howrah"/>
        <s v="Orai"/>
        <s v="Bareilly"/>
        <s v="Bengaluru"/>
        <s v="Bhilai"/>
        <s v="Faridabad"/>
        <s v="Agartala"/>
        <s v="Coonoor"/>
        <s v="Pune"/>
        <s v="Mantha"/>
        <s v="Kolkata"/>
        <s v="Mahalingpur"/>
        <s v="Hyderabad"/>
        <s v="Mumbai "/>
        <s v="Cuttack"/>
        <s v="Gurugram"/>
        <s v="Jaleswar"/>
        <s v="Visakhapatnam"/>
        <s v="New Delhi"/>
        <s v="Raia"/>
        <s v="Bhubaneswar"/>
        <s v="Jagdalpur"/>
        <s v="Salem"/>
        <s v="Jammu"/>
        <s v="Ahmedabad"/>
        <s v="Silchar"/>
        <s v="Guwahati"/>
        <s v="Ernakulam"/>
        <s v="Karaikkudi"/>
        <s v="Kodad"/>
        <s v="Badlapur"/>
        <s v="Surat"/>
        <s v="Thane"/>
        <s v="Pollachi"/>
        <s v="Raipur"/>
        <s v="Jalandhar"/>
        <s v="Thisayanvilai"/>
        <s v="Bidhan Nagar"/>
        <s v="Tuticorin"/>
        <s v="Jaipur"/>
        <s v="Chennai"/>
        <s v="Palai"/>
        <s v="Korba"/>
        <s v="Saharanpur"/>
        <s v="Thamarassery"/>
        <s v="Gautam Buddha Nagar"/>
        <s v="Katwa"/>
        <s v="Jodhpur"/>
        <s v="Malda"/>
        <s v="Noida"/>
        <s v="Secunderabad"/>
        <s v="Siwan"/>
        <s v="Navi Mumbai"/>
        <s v="Bardez"/>
        <s v="Thane District"/>
        <s v="Indore"/>
        <s v="Ghaziabad"/>
        <s v="Vadodara"/>
        <s v="Punjab"/>
        <s v="Amroha"/>
        <s v="Lucknow"/>
        <s v="Burdwan"/>
        <s v="Kodambakkam Chennai"/>
        <s v="Allahabad"/>
        <s v="Bilimora"/>
        <s v="Kanpur"/>
        <s v="Solan"/>
        <s v="Dehradun"/>
        <s v="Durg"/>
      </sharedItems>
    </cacheField>
    <cacheField name="SHIP_STATE" numFmtId="0">
      <sharedItems count="27">
        <s v="Chandigarh"/>
        <s v="Arunachal Pradesh"/>
        <s v="Telangana"/>
        <s v="Maharashtra"/>
        <s v="West Bengal"/>
        <s v="Uttar Pradesh"/>
        <s v="Karnataka"/>
        <s v="Chhattisgarh"/>
        <s v="Haryana"/>
        <s v="Tripura"/>
        <s v="Tamil Nadu"/>
        <s v="Odisha"/>
        <s v="Andhra Pradesh"/>
        <s v="Delhi"/>
        <s v="Goa"/>
        <s v="Jammu &amp; Kashmir"/>
        <s v="Gujarat"/>
        <s v="Assam"/>
        <s v="Kerala"/>
        <s v="Punjab"/>
        <s v="Rajasthan"/>
        <s v="Chandigarh,"/>
        <s v="Bihar"/>
        <s v="Madhya Pradesh"/>
        <s v="Mohali,"/>
        <s v="Himachal Pradesh"/>
        <s v="Uttarakhand"/>
      </sharedItems>
    </cacheField>
    <cacheField name="SKU" numFmtId="49">
      <sharedItems/>
    </cacheField>
    <cacheField name="QUANTITY" numFmtId="1">
      <sharedItems containsSemiMixedTypes="0" containsString="0" containsNumber="1" containsInteger="1" minValue="1" maxValue="4"/>
    </cacheField>
    <cacheField name="ITEM_TOTAL" numFmtId="2">
      <sharedItems containsBlank="1" containsMixedTypes="1" containsNumber="1" containsInteger="1" minValue="200" maxValue="3897"/>
    </cacheField>
    <cacheField name="SHIPPING" numFmtId="0">
      <sharedItems containsString="0" containsBlank="1" containsNumber="1" minValue="47.2" maxValue="241.9"/>
    </cacheField>
    <cacheField name="PAYMENT" numFmtId="0">
      <sharedItems count="2">
        <s v="PREPAID"/>
        <s v="COD"/>
      </sharedItems>
    </cacheField>
    <cacheField name="ORDER_STATUS" numFmtId="0">
      <sharedItems count="2">
        <s v="Delivered"/>
        <s v="Returned"/>
      </sharedItems>
    </cacheField>
    <cacheField name="CATEGORY" numFmtId="0">
      <sharedItems count="9">
        <s v="Piggy coin bank "/>
        <s v="Lipstick cases, Jewelry box "/>
        <s v="Jewelry box "/>
        <s v="Sling bag "/>
        <s v="Clutch purse, Wallet "/>
        <s v="Wallet "/>
        <s v="Shoulder bag, Handbag "/>
        <s v="Shoulder bag, "/>
        <s v="Handbag "/>
      </sharedItems>
    </cacheField>
    <cacheField name="Years" numFmtId="0" databaseField="0">
      <fieldGroup base="1">
        <rangePr groupBy="years" startDate="2021-06-13T00:00:00" endDate="2022-02-26T00:00:00"/>
        <groupItems count="4">
          <s v="&lt;13-06-2021"/>
          <s v="2021"/>
          <s v="2022"/>
          <s v="&gt;26-02-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71">
  <r>
    <s v="405-9763961-5211537"/>
    <x v="0"/>
    <s v="10:38 pm"/>
    <x v="0"/>
    <x v="0"/>
    <s v="Mr."/>
    <x v="0"/>
    <x v="0"/>
    <s v="SKU:  2X-3C0F-KNJE"/>
    <n v="1"/>
    <n v="449"/>
    <m/>
    <x v="0"/>
    <x v="0"/>
    <x v="0"/>
  </r>
  <r>
    <s v="404-3964908-7850720"/>
    <x v="1"/>
    <s v=" 6:05 pm"/>
    <x v="1"/>
    <x v="1"/>
    <s v="Minam"/>
    <x v="1"/>
    <x v="1"/>
    <s v="SKU:  DN-0WDX-VYOT"/>
    <n v="1"/>
    <n v="449"/>
    <n v="60.18"/>
    <x v="0"/>
    <x v="0"/>
    <x v="1"/>
  </r>
  <r>
    <s v="171-8103182-4289117"/>
    <x v="2"/>
    <s v="10:20 pm"/>
    <x v="0"/>
    <x v="2"/>
    <s v="Yatipertin"/>
    <x v="1"/>
    <x v="1"/>
    <s v="SKU:  DN-0WDX-VYOT"/>
    <n v="1"/>
    <n v="449"/>
    <n v="60.18"/>
    <x v="0"/>
    <x v="0"/>
    <x v="1"/>
  </r>
  <r>
    <s v="405-3171677-9557154"/>
    <x v="3"/>
    <s v=" 4:06 am"/>
    <x v="2"/>
    <x v="0"/>
    <s v="Aciya"/>
    <x v="2"/>
    <x v="2"/>
    <s v="SKU:  AH-J3AO-R7DN"/>
    <n v="1"/>
    <s v=""/>
    <m/>
    <x v="1"/>
    <x v="0"/>
    <x v="2"/>
  </r>
  <r>
    <s v="402-8910771-1215552"/>
    <x v="4"/>
    <s v=" 2:50 pm"/>
    <x v="1"/>
    <x v="3"/>
    <s v="Susmita"/>
    <x v="3"/>
    <x v="3"/>
    <s v="SKU:  KL-7WAA-Z82I"/>
    <n v="1"/>
    <n v="1099"/>
    <n v="84.96"/>
    <x v="0"/>
    <x v="0"/>
    <x v="3"/>
  </r>
  <r>
    <s v="406-9292208-6725123"/>
    <x v="5"/>
    <s v=" 9:12 pm"/>
    <x v="3"/>
    <x v="4"/>
    <s v="Subinita"/>
    <x v="4"/>
    <x v="4"/>
    <s v="SKU:  HH-FOWV-5YWO"/>
    <n v="1"/>
    <n v="200"/>
    <n v="84.97"/>
    <x v="0"/>
    <x v="0"/>
    <x v="4"/>
  </r>
  <r>
    <s v="404-5794317-7737924"/>
    <x v="6"/>
    <s v=" 8:03 pm"/>
    <x v="3"/>
    <x v="5"/>
    <s v="Shailendra"/>
    <x v="5"/>
    <x v="5"/>
    <s v="SKU:  TQ-OE6K-9DIK"/>
    <n v="1"/>
    <s v=""/>
    <n v="84.98"/>
    <x v="1"/>
    <x v="1"/>
    <x v="5"/>
  </r>
  <r>
    <s v="405-8702211-4054722"/>
    <x v="7"/>
    <s v=" 2:55 pm"/>
    <x v="2"/>
    <x v="3"/>
    <s v="Pratima"/>
    <x v="6"/>
    <x v="5"/>
    <s v="SKU:  S1-A92Q-JU3X"/>
    <n v="1"/>
    <n v="399"/>
    <n v="84.99"/>
    <x v="1"/>
    <x v="0"/>
    <x v="4"/>
  </r>
  <r>
    <s v="171-1434812-8061163"/>
    <x v="8"/>
    <s v=" 7:37 pm"/>
    <x v="4"/>
    <x v="2"/>
    <s v="Ipshita"/>
    <x v="7"/>
    <x v="6"/>
    <s v="SKU:  3F-4R9N-Z8NJ"/>
    <n v="1"/>
    <n v="399"/>
    <n v="84.1"/>
    <x v="0"/>
    <x v="0"/>
    <x v="2"/>
  </r>
  <r>
    <s v="171-7954707-4463549"/>
    <x v="9"/>
    <s v=" 4:47 pm"/>
    <x v="5"/>
    <x v="5"/>
    <s v="A.Jayaprada"/>
    <x v="8"/>
    <x v="7"/>
    <s v="SKU:  NU-CKZ5-4O49"/>
    <n v="1"/>
    <n v="1099"/>
    <n v="84.100999999999999"/>
    <x v="0"/>
    <x v="0"/>
    <x v="3"/>
  </r>
  <r>
    <s v="403-3146183-4920328"/>
    <x v="10"/>
    <s v="11:53 am"/>
    <x v="4"/>
    <x v="3"/>
    <s v="Sumeet"/>
    <x v="9"/>
    <x v="8"/>
    <s v="SKU:  2X-3C0F-KNJE"/>
    <n v="1"/>
    <n v="449"/>
    <n v="84.102000000000004"/>
    <x v="0"/>
    <x v="0"/>
    <x v="0"/>
  </r>
  <r>
    <s v="404-4406917-9569950"/>
    <x v="11"/>
    <s v=" 7:43 am"/>
    <x v="1"/>
    <x v="2"/>
    <s v="Rolipar"/>
    <x v="10"/>
    <x v="9"/>
    <s v="SKU:  DN-0WDX-VYOT"/>
    <n v="1"/>
    <n v="449"/>
    <n v="84.102999999999994"/>
    <x v="0"/>
    <x v="0"/>
    <x v="1"/>
  </r>
  <r>
    <s v="402-5321389-8685152"/>
    <x v="12"/>
    <s v="10:11 am"/>
    <x v="4"/>
    <x v="1"/>
    <s v="Blessan"/>
    <x v="11"/>
    <x v="10"/>
    <s v="SKU:  94-TSV3-EIW6"/>
    <n v="1"/>
    <n v="449"/>
    <n v="84.103999999999999"/>
    <x v="1"/>
    <x v="0"/>
    <x v="0"/>
  </r>
  <r>
    <s v="403-4385783-1379508"/>
    <x v="13"/>
    <s v="10:05 am"/>
    <x v="5"/>
    <x v="1"/>
    <s v="Aditi"/>
    <x v="12"/>
    <x v="3"/>
    <s v="SKU:  FL-4CMG-CU48"/>
    <n v="1"/>
    <n v="1099"/>
    <n v="84.105000000000004"/>
    <x v="0"/>
    <x v="0"/>
    <x v="3"/>
  </r>
  <r>
    <s v="408-9557300-6760347"/>
    <x v="14"/>
    <s v="11:14 pm"/>
    <x v="3"/>
    <x v="1"/>
    <s v="Satish"/>
    <x v="13"/>
    <x v="3"/>
    <s v="SKU:  YJ-5CCT-M3PP"/>
    <n v="1"/>
    <s v=""/>
    <n v="84.105999999999995"/>
    <x v="1"/>
    <x v="1"/>
    <x v="5"/>
  </r>
  <r>
    <s v="402-4179660-9937142"/>
    <x v="15"/>
    <s v=" 9:10 am"/>
    <x v="0"/>
    <x v="3"/>
    <s v="K"/>
    <x v="14"/>
    <x v="4"/>
    <s v="SKU:  KL-7WAA-Z82I"/>
    <n v="1"/>
    <n v="1099"/>
    <n v="84.106999999999999"/>
    <x v="0"/>
    <x v="0"/>
    <x v="3"/>
  </r>
  <r>
    <s v="405-6918787-5602743"/>
    <x v="16"/>
    <s v=" 7:48 am"/>
    <x v="2"/>
    <x v="5"/>
    <s v="Mosin"/>
    <x v="15"/>
    <x v="6"/>
    <s v="SKU:  TQ-OE6K-9DIK"/>
    <n v="1"/>
    <n v="649"/>
    <n v="84.108000000000004"/>
    <x v="1"/>
    <x v="0"/>
    <x v="5"/>
  </r>
  <r>
    <s v="406-1403658-9371527"/>
    <x v="17"/>
    <s v="12:46 pm"/>
    <x v="4"/>
    <x v="2"/>
    <s v="Shilpin"/>
    <x v="3"/>
    <x v="3"/>
    <s v="SKU:  PG-WS6J-89DG"/>
    <n v="1"/>
    <n v="449"/>
    <n v="84.108999999999995"/>
    <x v="0"/>
    <x v="0"/>
    <x v="0"/>
  </r>
  <r>
    <s v="407-2082022-4357107"/>
    <x v="18"/>
    <s v=" 1:08 pm"/>
    <x v="0"/>
    <x v="2"/>
    <s v="Prithi"/>
    <x v="16"/>
    <x v="2"/>
    <s v="SKU:  O9-OVS7-G9XK"/>
    <n v="1"/>
    <n v="399"/>
    <n v="84.11"/>
    <x v="0"/>
    <x v="0"/>
    <x v="2"/>
  </r>
  <r>
    <s v="402-8678022-3083562"/>
    <x v="19"/>
    <s v="11:34 pm"/>
    <x v="6"/>
    <x v="1"/>
    <s v="Heena"/>
    <x v="3"/>
    <x v="3"/>
    <s v="SKU:  S1-A92Q-JU3X"/>
    <n v="1"/>
    <n v="400"/>
    <n v="84.111000000000004"/>
    <x v="1"/>
    <x v="0"/>
    <x v="4"/>
  </r>
  <r>
    <s v="402-1146202-1933154"/>
    <x v="20"/>
    <s v=" 8:36 pm"/>
    <x v="6"/>
    <x v="3"/>
    <s v="Hemal"/>
    <x v="17"/>
    <x v="3"/>
    <s v="SKU:  AY-Z7BT-BMVM"/>
    <n v="1"/>
    <n v="401"/>
    <n v="84.111999999999995"/>
    <x v="0"/>
    <x v="0"/>
    <x v="4"/>
  </r>
  <r>
    <s v="402-6406639-0884351"/>
    <x v="21"/>
    <s v=" 9:07 am"/>
    <x v="2"/>
    <x v="2"/>
    <s v="Neha"/>
    <x v="18"/>
    <x v="11"/>
    <s v="SKU:  DN-0WDX-VYOT"/>
    <n v="1"/>
    <n v="402"/>
    <n v="84.113"/>
    <x v="0"/>
    <x v="0"/>
    <x v="1"/>
  </r>
  <r>
    <s v="171-6105173-4790734"/>
    <x v="22"/>
    <s v=" 7:22 pm"/>
    <x v="6"/>
    <x v="2"/>
    <s v="Geetika"/>
    <x v="19"/>
    <x v="8"/>
    <s v="SKU:  DN-0WDX-VYOT"/>
    <n v="1"/>
    <n v="403"/>
    <n v="84.114000000000004"/>
    <x v="0"/>
    <x v="1"/>
    <x v="1"/>
  </r>
  <r>
    <s v="406-9975868-3000368"/>
    <x v="23"/>
    <s v="10:15 pm"/>
    <x v="2"/>
    <x v="1"/>
    <s v="Hema"/>
    <x v="7"/>
    <x v="6"/>
    <s v="SKU:  AY-Z7BT-BMVM"/>
    <n v="1"/>
    <n v="404"/>
    <n v="84.114999999999995"/>
    <x v="0"/>
    <x v="0"/>
    <x v="4"/>
  </r>
  <r>
    <s v="403-7876698-8356365"/>
    <x v="24"/>
    <s v=" 7:48 am"/>
    <x v="6"/>
    <x v="4"/>
    <s v="Yash"/>
    <x v="3"/>
    <x v="3"/>
    <s v="SKU:  3O-GBSM-TYZE"/>
    <n v="1"/>
    <n v="405"/>
    <n v="84.116"/>
    <x v="1"/>
    <x v="1"/>
    <x v="0"/>
  </r>
  <r>
    <s v="402-2054361-4513137"/>
    <x v="25"/>
    <s v="12:46 pm"/>
    <x v="5"/>
    <x v="3"/>
    <s v="Ramesh"/>
    <x v="20"/>
    <x v="11"/>
    <s v="SKU:  TQ-OE6K-9DIK"/>
    <n v="1"/>
    <n v="406"/>
    <n v="84.117000000000004"/>
    <x v="1"/>
    <x v="0"/>
    <x v="5"/>
  </r>
  <r>
    <s v="405-0695973-7365161"/>
    <x v="26"/>
    <s v=" 9:32 am"/>
    <x v="3"/>
    <x v="0"/>
    <s v="Sailaja"/>
    <x v="21"/>
    <x v="12"/>
    <s v="SKU:  AH-J3AO-R7DN"/>
    <n v="1"/>
    <n v="407"/>
    <n v="84.117999999999995"/>
    <x v="0"/>
    <x v="0"/>
    <x v="2"/>
  </r>
  <r>
    <s v="404-9680499-3084319"/>
    <x v="27"/>
    <s v=" 6:58 am"/>
    <x v="6"/>
    <x v="1"/>
    <s v="Manisha"/>
    <x v="12"/>
    <x v="3"/>
    <s v="SKU:  DN-0WDX-VYOT"/>
    <n v="1"/>
    <n v="408"/>
    <n v="84.119"/>
    <x v="1"/>
    <x v="0"/>
    <x v="1"/>
  </r>
  <r>
    <s v="406-3518585-4093925"/>
    <x v="28"/>
    <s v=" 6:41 pm"/>
    <x v="5"/>
    <x v="3"/>
    <s v="M"/>
    <x v="22"/>
    <x v="13"/>
    <s v="SKU:  0M-RFE6-443C"/>
    <n v="1"/>
    <n v="409"/>
    <n v="84.96"/>
    <x v="1"/>
    <x v="0"/>
    <x v="2"/>
  </r>
  <r>
    <s v="404-6883107-8347508"/>
    <x v="29"/>
    <s v=" 8:16 pm"/>
    <x v="2"/>
    <x v="5"/>
    <s v="Chirag"/>
    <x v="23"/>
    <x v="14"/>
    <s v="SKU:  DN-0WDX-VYOT"/>
    <n v="1"/>
    <n v="410"/>
    <m/>
    <x v="0"/>
    <x v="0"/>
    <x v="1"/>
  </r>
  <r>
    <s v="404-8244254-9274747"/>
    <x v="30"/>
    <s v=" 9:30 am"/>
    <x v="5"/>
    <x v="1"/>
    <s v="Subhendu"/>
    <x v="24"/>
    <x v="11"/>
    <s v="SKU:  DN-0WDX-VYOT"/>
    <n v="1"/>
    <n v="411"/>
    <n v="60.18"/>
    <x v="0"/>
    <x v="0"/>
    <x v="1"/>
  </r>
  <r>
    <s v="407-2330390-9441923"/>
    <x v="12"/>
    <s v=" 9:51 am"/>
    <x v="4"/>
    <x v="1"/>
    <s v="Harsimranjit"/>
    <x v="25"/>
    <x v="7"/>
    <s v="SKU:  TY-4GPW-U54J"/>
    <n v="1"/>
    <n v="412"/>
    <n v="60.18"/>
    <x v="0"/>
    <x v="0"/>
    <x v="2"/>
  </r>
  <r>
    <s v="407-0864859-8033111"/>
    <x v="27"/>
    <s v=" 2:19 pm"/>
    <x v="6"/>
    <x v="1"/>
    <s v="Deepshikha"/>
    <x v="16"/>
    <x v="2"/>
    <s v="SKU:  DN-0WDX-VYOT"/>
    <n v="1"/>
    <n v="413"/>
    <n v="84.96"/>
    <x v="1"/>
    <x v="0"/>
    <x v="1"/>
  </r>
  <r>
    <s v="402-0249599-9225933"/>
    <x v="31"/>
    <s v=" 8:06 am"/>
    <x v="4"/>
    <x v="3"/>
    <s v="Elizabeth"/>
    <x v="7"/>
    <x v="6"/>
    <s v="SKU:  DN-0WDX-VYOT"/>
    <n v="1"/>
    <n v="414"/>
    <n v="84.96"/>
    <x v="0"/>
    <x v="0"/>
    <x v="1"/>
  </r>
  <r>
    <s v="403-0713090-0169940"/>
    <x v="32"/>
    <s v=" 3:54 pm"/>
    <x v="3"/>
    <x v="1"/>
    <s v="Sayani"/>
    <x v="14"/>
    <x v="4"/>
    <s v="SKU:  9S-GE8P-RIR4"/>
    <n v="1"/>
    <n v="415"/>
    <n v="47.2"/>
    <x v="1"/>
    <x v="0"/>
    <x v="2"/>
  </r>
  <r>
    <s v="403-7215480-9090745"/>
    <x v="33"/>
    <s v=" 7:11 am"/>
    <x v="1"/>
    <x v="3"/>
    <s v="Madan"/>
    <x v="7"/>
    <x v="6"/>
    <s v="SKU:  3F-4R9N-Z8NJ"/>
    <n v="1"/>
    <n v="416"/>
    <n v="84.96"/>
    <x v="0"/>
    <x v="0"/>
    <x v="2"/>
  </r>
  <r>
    <s v="403-7217325-7956317"/>
    <x v="34"/>
    <s v=" 2:35 pm"/>
    <x v="3"/>
    <x v="3"/>
    <s v="Maha"/>
    <x v="26"/>
    <x v="10"/>
    <s v="SKU:  0M-RFE6-443C"/>
    <n v="1"/>
    <n v="417"/>
    <n v="84.96"/>
    <x v="0"/>
    <x v="0"/>
    <x v="2"/>
  </r>
  <r>
    <s v="405-8876256-0913907"/>
    <x v="31"/>
    <s v=" 5:03 pm"/>
    <x v="4"/>
    <x v="3"/>
    <s v="Shreyasi"/>
    <x v="12"/>
    <x v="3"/>
    <s v="SKU:  CR-6E69-UXFW"/>
    <n v="1"/>
    <n v="418"/>
    <n v="84.96"/>
    <x v="0"/>
    <x v="0"/>
    <x v="0"/>
  </r>
  <r>
    <s v="407-0539421-4069143"/>
    <x v="35"/>
    <s v="11:33 am"/>
    <x v="5"/>
    <x v="2"/>
    <s v="Parmeet"/>
    <x v="27"/>
    <x v="15"/>
    <s v="SKU:  0M-RFE6-443C"/>
    <n v="1"/>
    <n v="419"/>
    <n v="84.96"/>
    <x v="1"/>
    <x v="0"/>
    <x v="2"/>
  </r>
  <r>
    <s v="404-8031085-1381943"/>
    <x v="22"/>
    <s v=" 9:12 pm"/>
    <x v="6"/>
    <x v="2"/>
    <s v="Kangana"/>
    <x v="22"/>
    <x v="13"/>
    <s v="SKU:  54-D265-B74K"/>
    <n v="4"/>
    <n v="420"/>
    <n v="84.96"/>
    <x v="0"/>
    <x v="1"/>
    <x v="2"/>
  </r>
  <r>
    <s v="407-6856738-1928342"/>
    <x v="25"/>
    <s v=" 3:15 pm"/>
    <x v="5"/>
    <x v="3"/>
    <s v="Nina"/>
    <x v="16"/>
    <x v="2"/>
    <s v="SKU:  D4-UD68-TMXH"/>
    <n v="1"/>
    <n v="421"/>
    <n v="84.96"/>
    <x v="0"/>
    <x v="0"/>
    <x v="2"/>
  </r>
  <r>
    <s v="405-4776641-5401922"/>
    <x v="19"/>
    <s v=" 2:18 pm"/>
    <x v="6"/>
    <x v="1"/>
    <s v="Rathish"/>
    <x v="28"/>
    <x v="16"/>
    <s v="SKU:  9S-GE8P-RIR4"/>
    <n v="1"/>
    <n v="422"/>
    <n v="84.96"/>
    <x v="0"/>
    <x v="0"/>
    <x v="2"/>
  </r>
  <r>
    <s v="407-7181943-1725128"/>
    <x v="13"/>
    <s v=" 1:10 am"/>
    <x v="5"/>
    <x v="1"/>
    <s v="Rohan"/>
    <x v="19"/>
    <x v="8"/>
    <s v="SKU:  DN-0WDX-VYOT"/>
    <n v="1"/>
    <n v="423"/>
    <n v="84.96"/>
    <x v="0"/>
    <x v="0"/>
    <x v="1"/>
  </r>
  <r>
    <s v="405-8481932-1229966"/>
    <x v="36"/>
    <s v="11:38 am"/>
    <x v="0"/>
    <x v="1"/>
    <s v="Amala"/>
    <x v="14"/>
    <x v="4"/>
    <s v="SKU:  S1-A92Q-JU3X"/>
    <n v="1"/>
    <n v="424"/>
    <n v="47.2"/>
    <x v="0"/>
    <x v="1"/>
    <x v="4"/>
  </r>
  <r>
    <s v="404-9914447-5578722"/>
    <x v="37"/>
    <s v=" 9:16 am"/>
    <x v="6"/>
    <x v="5"/>
    <s v="Dipali"/>
    <x v="3"/>
    <x v="3"/>
    <s v="SKU:  DN-0WDX-VYOT"/>
    <n v="1"/>
    <n v="425"/>
    <m/>
    <x v="0"/>
    <x v="0"/>
    <x v="1"/>
  </r>
  <r>
    <s v="404-6735919-2773947"/>
    <x v="36"/>
    <s v="11:28 pm"/>
    <x v="0"/>
    <x v="1"/>
    <s v="Swagata"/>
    <x v="29"/>
    <x v="17"/>
    <s v="SKU:  9S-GE8P-RIR4"/>
    <n v="1"/>
    <n v="426"/>
    <n v="60.18"/>
    <x v="1"/>
    <x v="0"/>
    <x v="2"/>
  </r>
  <r>
    <s v="407-1526604-7803547"/>
    <x v="38"/>
    <s v="12:02 pm"/>
    <x v="6"/>
    <x v="5"/>
    <s v="Jolly"/>
    <x v="30"/>
    <x v="17"/>
    <s v="SKU:  KL-7WAA-Z82I"/>
    <n v="1"/>
    <n v="427"/>
    <m/>
    <x v="1"/>
    <x v="0"/>
    <x v="3"/>
  </r>
  <r>
    <s v="405-1981073-5970737"/>
    <x v="39"/>
    <s v=" 8:53 pm"/>
    <x v="1"/>
    <x v="1"/>
    <s v="Jitu"/>
    <x v="30"/>
    <x v="17"/>
    <s v="SKU:  I1-AWVT-2QOL"/>
    <n v="1"/>
    <n v="428"/>
    <n v="60.18"/>
    <x v="1"/>
    <x v="1"/>
    <x v="4"/>
  </r>
  <r>
    <s v="171-5705929-2195543"/>
    <x v="40"/>
    <s v=" 9:27 pm"/>
    <x v="5"/>
    <x v="5"/>
    <s v="John"/>
    <x v="31"/>
    <x v="18"/>
    <s v="SKU:  NU-CKZ5-4O49"/>
    <n v="1"/>
    <n v="429"/>
    <m/>
    <x v="1"/>
    <x v="0"/>
    <x v="3"/>
  </r>
  <r>
    <s v="405-1111150-1834754"/>
    <x v="15"/>
    <s v="12:22 am"/>
    <x v="0"/>
    <x v="3"/>
    <s v="Jai"/>
    <x v="16"/>
    <x v="2"/>
    <s v="SKU:  TQ-OE6K-9DIK"/>
    <n v="1"/>
    <n v="430"/>
    <n v="84.96"/>
    <x v="0"/>
    <x v="0"/>
    <x v="5"/>
  </r>
  <r>
    <s v="403-1631300-1893901"/>
    <x v="8"/>
    <s v=" 4:47 pm"/>
    <x v="4"/>
    <x v="2"/>
    <s v="Saravanan"/>
    <x v="32"/>
    <x v="10"/>
    <s v="SKU:  WR-ANCX-U28C"/>
    <n v="1"/>
    <n v="431"/>
    <n v="84.96"/>
    <x v="1"/>
    <x v="0"/>
    <x v="0"/>
  </r>
  <r>
    <s v="402-5621007-4266725"/>
    <x v="41"/>
    <s v=" 5:18 pm"/>
    <x v="1"/>
    <x v="5"/>
    <s v="Tarek"/>
    <x v="3"/>
    <x v="3"/>
    <s v="SKU:  W4-JQ2J-ZUF2"/>
    <n v="1"/>
    <n v="432"/>
    <m/>
    <x v="0"/>
    <x v="0"/>
    <x v="4"/>
  </r>
  <r>
    <s v="404-7918321-6528342"/>
    <x v="42"/>
    <s v=" 8:53 pm"/>
    <x v="2"/>
    <x v="4"/>
    <s v="Narendra"/>
    <x v="33"/>
    <x v="2"/>
    <s v="SKU:  5B-NW9K-L3AO"/>
    <n v="1"/>
    <n v="433"/>
    <m/>
    <x v="1"/>
    <x v="0"/>
    <x v="0"/>
  </r>
  <r>
    <s v="406-5723826-0192341"/>
    <x v="43"/>
    <s v=" 2:57 pm"/>
    <x v="6"/>
    <x v="1"/>
    <s v="Sailee"/>
    <x v="3"/>
    <x v="3"/>
    <s v="SKU:  DN-0WDX-VYOT"/>
    <n v="1"/>
    <n v="434"/>
    <n v="84.96"/>
    <x v="1"/>
    <x v="0"/>
    <x v="1"/>
  </r>
  <r>
    <s v="406-5208445-6151521"/>
    <x v="44"/>
    <s v=" 9:59 am"/>
    <x v="1"/>
    <x v="1"/>
    <s v="Saravana"/>
    <x v="14"/>
    <x v="4"/>
    <s v="SKU:  86-JXO3-EJ7K"/>
    <n v="1"/>
    <n v="435"/>
    <n v="47.2"/>
    <x v="0"/>
    <x v="0"/>
    <x v="0"/>
  </r>
  <r>
    <s v="404-5515061-6165137"/>
    <x v="45"/>
    <s v=" 8:27 pm"/>
    <x v="6"/>
    <x v="1"/>
    <s v="Arpita"/>
    <x v="14"/>
    <x v="4"/>
    <s v="SKU:  0M-RFE6-443C"/>
    <n v="1"/>
    <n v="399"/>
    <n v="47.2"/>
    <x v="0"/>
    <x v="0"/>
    <x v="2"/>
  </r>
  <r>
    <s v="406-4504814-5756357"/>
    <x v="42"/>
    <s v="10:35 pm"/>
    <x v="2"/>
    <x v="4"/>
    <s v="Shamal"/>
    <x v="34"/>
    <x v="3"/>
    <s v="SKU:  3O-GBSM-TYZE"/>
    <n v="1"/>
    <m/>
    <m/>
    <x v="0"/>
    <x v="0"/>
    <x v="0"/>
  </r>
  <r>
    <s v="403-7364233-8411519"/>
    <x v="46"/>
    <s v=" 7:38 am"/>
    <x v="3"/>
    <x v="2"/>
    <s v="Salima"/>
    <x v="3"/>
    <x v="3"/>
    <s v="SKU:  0M-RFE6-443C"/>
    <n v="1"/>
    <n v="401"/>
    <n v="84.96"/>
    <x v="0"/>
    <x v="0"/>
    <x v="2"/>
  </r>
  <r>
    <s v="402-0413922-0000337"/>
    <x v="47"/>
    <s v=" 6:16 am"/>
    <x v="3"/>
    <x v="2"/>
    <s v="Hemant"/>
    <x v="35"/>
    <x v="16"/>
    <s v="SKU:  SB-WDQN-SDN9"/>
    <n v="1"/>
    <n v="402"/>
    <n v="178.18"/>
    <x v="1"/>
    <x v="0"/>
    <x v="6"/>
  </r>
  <r>
    <s v="171-1070115-6195560"/>
    <x v="42"/>
    <s v=" 4:27 pm"/>
    <x v="2"/>
    <x v="4"/>
    <s v="Soumya"/>
    <x v="36"/>
    <x v="3"/>
    <s v="SKU:  3O-GBSM-TYZE"/>
    <n v="1"/>
    <n v="403"/>
    <m/>
    <x v="0"/>
    <x v="0"/>
    <x v="0"/>
  </r>
  <r>
    <s v="407-5532335-4314768"/>
    <x v="48"/>
    <s v=" 7:08 pm"/>
    <x v="0"/>
    <x v="4"/>
    <s v="Pavithra"/>
    <x v="37"/>
    <x v="10"/>
    <s v="SKU:  QV-PHXY-LGY8"/>
    <n v="1"/>
    <n v="404"/>
    <m/>
    <x v="0"/>
    <x v="0"/>
    <x v="0"/>
  </r>
  <r>
    <s v="402-6806027-8773139"/>
    <x v="49"/>
    <s v="10:34 am"/>
    <x v="5"/>
    <x v="2"/>
    <s v="Rana"/>
    <x v="12"/>
    <x v="3"/>
    <s v="SKU:  0M-RFE6-443C"/>
    <n v="1"/>
    <n v="405"/>
    <n v="84.96"/>
    <x v="0"/>
    <x v="0"/>
    <x v="2"/>
  </r>
  <r>
    <s v="407-5896934-9005133"/>
    <x v="44"/>
    <s v="10:32 am"/>
    <x v="1"/>
    <x v="1"/>
    <s v="Sumita"/>
    <x v="3"/>
    <x v="3"/>
    <s v="SKU:  H6-A9OJ-C0Q1"/>
    <n v="1"/>
    <n v="406"/>
    <n v="84.96"/>
    <x v="0"/>
    <x v="0"/>
    <x v="4"/>
  </r>
  <r>
    <s v="403-3892336-2999521"/>
    <x v="50"/>
    <s v=" 5:15 pm"/>
    <x v="5"/>
    <x v="4"/>
    <s v="Ajay"/>
    <x v="38"/>
    <x v="7"/>
    <s v="SKU:  3O-GBSM-TYZE"/>
    <n v="1"/>
    <n v="407"/>
    <m/>
    <x v="0"/>
    <x v="0"/>
    <x v="0"/>
  </r>
  <r>
    <s v="406-9458224-2717157"/>
    <x v="51"/>
    <s v="11:23 pm"/>
    <x v="1"/>
    <x v="2"/>
    <s v="Pooja"/>
    <x v="19"/>
    <x v="8"/>
    <s v="SKU:  DN-0WDX-VYOT"/>
    <n v="1"/>
    <n v="408"/>
    <n v="84.96"/>
    <x v="0"/>
    <x v="0"/>
    <x v="1"/>
  </r>
  <r>
    <s v="408-4317100-7692318"/>
    <x v="52"/>
    <s v=" 6:58 pm"/>
    <x v="0"/>
    <x v="2"/>
    <s v="Priyanka"/>
    <x v="6"/>
    <x v="5"/>
    <s v="SKU:  DN-0WDX-VYOT"/>
    <n v="1"/>
    <n v="409"/>
    <n v="84.96"/>
    <x v="0"/>
    <x v="0"/>
    <x v="1"/>
  </r>
  <r>
    <s v="402-6701060-6592325"/>
    <x v="19"/>
    <s v="11:35 pm"/>
    <x v="6"/>
    <x v="1"/>
    <s v="Heena"/>
    <x v="3"/>
    <x v="3"/>
    <s v="SKU:  1T-RAUZ-UZKO"/>
    <n v="1"/>
    <n v="410"/>
    <n v="84.96"/>
    <x v="1"/>
    <x v="0"/>
    <x v="4"/>
  </r>
  <r>
    <s v="405-0978927-9443544"/>
    <x v="21"/>
    <s v=" 9:24 pm"/>
    <x v="2"/>
    <x v="2"/>
    <s v="A"/>
    <x v="39"/>
    <x v="19"/>
    <s v="SKU:  DN-0WDX-VYOT"/>
    <n v="1"/>
    <n v="411"/>
    <n v="84.96"/>
    <x v="0"/>
    <x v="0"/>
    <x v="1"/>
  </r>
  <r>
    <s v="407-4805322-7498725"/>
    <x v="53"/>
    <s v=" 6:09 am"/>
    <x v="2"/>
    <x v="4"/>
    <s v="Velmurugan"/>
    <x v="40"/>
    <x v="10"/>
    <s v="SKU:  CR-6E69-UXFW"/>
    <n v="1"/>
    <n v="412"/>
    <m/>
    <x v="0"/>
    <x v="0"/>
    <x v="0"/>
  </r>
  <r>
    <s v="406-6432664-4853932"/>
    <x v="54"/>
    <s v="11:57 am"/>
    <x v="0"/>
    <x v="3"/>
    <s v="Nilanjana"/>
    <x v="41"/>
    <x v="4"/>
    <s v="SKU:  DN-0WDX-VYOT"/>
    <n v="1"/>
    <n v="413"/>
    <n v="47.2"/>
    <x v="0"/>
    <x v="0"/>
    <x v="1"/>
  </r>
  <r>
    <s v="407-8790284-0125124"/>
    <x v="55"/>
    <s v="11:02 pm"/>
    <x v="0"/>
    <x v="1"/>
    <s v="Harsimranjit"/>
    <x v="25"/>
    <x v="7"/>
    <s v="SKU:  0M-RFE6-443C"/>
    <n v="1"/>
    <n v="414"/>
    <n v="60.18"/>
    <x v="0"/>
    <x v="0"/>
    <x v="2"/>
  </r>
  <r>
    <s v="402-4834476-0320360"/>
    <x v="40"/>
    <s v=" 1:37 pm"/>
    <x v="5"/>
    <x v="5"/>
    <s v="Abhishek"/>
    <x v="14"/>
    <x v="4"/>
    <s v="SKU:  UR-WJJ0-I3TN"/>
    <n v="1"/>
    <n v="415"/>
    <m/>
    <x v="0"/>
    <x v="0"/>
    <x v="2"/>
  </r>
  <r>
    <s v="171-2479820-8391565"/>
    <x v="56"/>
    <s v=" 6:04 pm"/>
    <x v="3"/>
    <x v="0"/>
    <s v="Rajat"/>
    <x v="22"/>
    <x v="13"/>
    <s v="SKU:  RG-29TH-MROF"/>
    <n v="1"/>
    <n v="416"/>
    <m/>
    <x v="0"/>
    <x v="0"/>
    <x v="0"/>
  </r>
  <r>
    <s v="408-0358198-6688308"/>
    <x v="57"/>
    <s v=" 7:40 pm"/>
    <x v="2"/>
    <x v="0"/>
    <s v="S."/>
    <x v="42"/>
    <x v="10"/>
    <s v="SKU:  GP-RMI4-GJ6L"/>
    <n v="1"/>
    <n v="417"/>
    <m/>
    <x v="1"/>
    <x v="0"/>
    <x v="0"/>
  </r>
  <r>
    <s v="171-2095880-5548309"/>
    <x v="58"/>
    <s v=" 7:10 pm"/>
    <x v="6"/>
    <x v="2"/>
    <s v="Kusum"/>
    <x v="43"/>
    <x v="20"/>
    <s v="SKU:  SB-WDQN-SDN9"/>
    <n v="1"/>
    <n v="418"/>
    <n v="210.04"/>
    <x v="0"/>
    <x v="0"/>
    <x v="6"/>
  </r>
  <r>
    <s v="403-3087278-4501963"/>
    <x v="17"/>
    <s v=" 9:28 pm"/>
    <x v="4"/>
    <x v="2"/>
    <s v="Vinithra"/>
    <x v="44"/>
    <x v="10"/>
    <s v="SKU:  U1-8YOK-510E"/>
    <n v="1"/>
    <n v="449"/>
    <n v="84.96"/>
    <x v="0"/>
    <x v="0"/>
    <x v="0"/>
  </r>
  <r>
    <s v="406-6774677-4553965"/>
    <x v="59"/>
    <s v="12:04 pm"/>
    <x v="1"/>
    <x v="0"/>
    <s v="Priyanka"/>
    <x v="16"/>
    <x v="2"/>
    <s v="SKU:  5B-NW9K-L3AO"/>
    <n v="1"/>
    <n v="349"/>
    <m/>
    <x v="1"/>
    <x v="0"/>
    <x v="0"/>
  </r>
  <r>
    <s v="402-6614720-2475547"/>
    <x v="54"/>
    <s v=" 7:52 pm"/>
    <x v="0"/>
    <x v="3"/>
    <s v="Anjana"/>
    <x v="45"/>
    <x v="18"/>
    <s v="SKU:  9S-GE8P-RIR4"/>
    <n v="1"/>
    <n v="250"/>
    <n v="84.96"/>
    <x v="1"/>
    <x v="0"/>
    <x v="2"/>
  </r>
  <r>
    <s v="405-4735668-0393136"/>
    <x v="60"/>
    <s v=" 3:19 pm"/>
    <x v="3"/>
    <x v="3"/>
    <s v="Noopur"/>
    <x v="46"/>
    <x v="7"/>
    <s v="SKU:  DN-0WDX-VYOT"/>
    <n v="1"/>
    <n v="449"/>
    <n v="60.18"/>
    <x v="0"/>
    <x v="0"/>
    <x v="1"/>
  </r>
  <r>
    <s v="408-7282076-9330761"/>
    <x v="61"/>
    <s v=" 6:56 pm"/>
    <x v="0"/>
    <x v="1"/>
    <s v="Deepak"/>
    <x v="7"/>
    <x v="6"/>
    <s v="SKU:  D9-CVL3-8JF6"/>
    <n v="1"/>
    <n v="549"/>
    <n v="84.96"/>
    <x v="0"/>
    <x v="0"/>
    <x v="0"/>
  </r>
  <r>
    <s v="403-9782961-0644358"/>
    <x v="21"/>
    <s v=" 6:00 pm"/>
    <x v="2"/>
    <x v="2"/>
    <s v="Madhavi"/>
    <x v="16"/>
    <x v="2"/>
    <s v="SKU:  54-D265-B74K"/>
    <n v="1"/>
    <n v="399"/>
    <n v="84.96"/>
    <x v="0"/>
    <x v="0"/>
    <x v="2"/>
  </r>
  <r>
    <s v="402-3054284-1226754"/>
    <x v="62"/>
    <s v="12:32 am"/>
    <x v="3"/>
    <x v="2"/>
    <s v="Sayantani"/>
    <x v="14"/>
    <x v="4"/>
    <s v="SKU:  G4-B5GQ-8V30"/>
    <n v="1"/>
    <n v="399"/>
    <n v="47.2"/>
    <x v="0"/>
    <x v="0"/>
    <x v="4"/>
  </r>
  <r>
    <s v="403-4722970-7103536"/>
    <x v="46"/>
    <s v=" 8:52 am"/>
    <x v="3"/>
    <x v="2"/>
    <s v="Salima"/>
    <x v="3"/>
    <x v="3"/>
    <s v="SKU:  TY-4GPW-U54J"/>
    <n v="1"/>
    <n v="399"/>
    <n v="84.96"/>
    <x v="0"/>
    <x v="0"/>
    <x v="2"/>
  </r>
  <r>
    <s v="407-8029342-1162714"/>
    <x v="63"/>
    <s v="11:32 am"/>
    <x v="2"/>
    <x v="3"/>
    <s v="Sharad"/>
    <x v="7"/>
    <x v="6"/>
    <s v="SKU:  NV-1DWM-41VX"/>
    <n v="1"/>
    <n v="549"/>
    <n v="114.46"/>
    <x v="0"/>
    <x v="0"/>
    <x v="0"/>
  </r>
  <r>
    <s v="406-9976360-8935534"/>
    <x v="64"/>
    <s v=" 2:41 am"/>
    <x v="4"/>
    <x v="2"/>
    <s v="Shilpin"/>
    <x v="3"/>
    <x v="3"/>
    <s v="SKU:  PG-WS6J-89DG"/>
    <n v="1"/>
    <n v="449"/>
    <n v="84.96"/>
    <x v="0"/>
    <x v="0"/>
    <x v="0"/>
  </r>
  <r>
    <s v="406-0702616-4123501"/>
    <x v="65"/>
    <s v="11:28 pm"/>
    <x v="0"/>
    <x v="5"/>
    <s v="Mahalakshmi"/>
    <x v="44"/>
    <x v="10"/>
    <s v="SKU:  9W-AS6W-6O9X"/>
    <n v="1"/>
    <n v="250"/>
    <n v="81.42"/>
    <x v="1"/>
    <x v="0"/>
    <x v="2"/>
  </r>
  <r>
    <s v="408-6770537-3774707"/>
    <x v="66"/>
    <s v="10:22 am"/>
    <x v="0"/>
    <x v="1"/>
    <s v="Paromita"/>
    <x v="3"/>
    <x v="3"/>
    <s v="SKU:  DN-0WDX-VYOT"/>
    <n v="2"/>
    <n v="898"/>
    <n v="84.96"/>
    <x v="0"/>
    <x v="0"/>
    <x v="1"/>
  </r>
  <r>
    <s v="403-4274611-4049927"/>
    <x v="67"/>
    <s v="11:23 am"/>
    <x v="3"/>
    <x v="1"/>
    <s v="Pooja"/>
    <x v="47"/>
    <x v="5"/>
    <s v="SKU:  UR-WJJ0-I3TN"/>
    <n v="1"/>
    <s v=""/>
    <n v="84.96"/>
    <x v="0"/>
    <x v="0"/>
    <x v="2"/>
  </r>
  <r>
    <s v="407-7598159-3965161"/>
    <x v="68"/>
    <s v="12:29 pm"/>
    <x v="5"/>
    <x v="2"/>
    <s v="Chandni"/>
    <x v="48"/>
    <x v="18"/>
    <s v="SKU:  S1-A92Q-JU3X"/>
    <n v="1"/>
    <n v="399"/>
    <n v="210.04"/>
    <x v="0"/>
    <x v="0"/>
    <x v="4"/>
  </r>
  <r>
    <s v="403-0124463-2966723"/>
    <x v="69"/>
    <s v=" 8:15 am"/>
    <x v="5"/>
    <x v="0"/>
    <s v="Thanigaivel"/>
    <x v="44"/>
    <x v="10"/>
    <s v="SKU:  QD-RNE2-2FH8"/>
    <n v="1"/>
    <n v="449"/>
    <m/>
    <x v="0"/>
    <x v="0"/>
    <x v="0"/>
  </r>
  <r>
    <s v="403-5745034-5441137"/>
    <x v="70"/>
    <s v="11:07 pm"/>
    <x v="6"/>
    <x v="5"/>
    <s v="Parul"/>
    <x v="35"/>
    <x v="16"/>
    <s v="SKU:  3V-FKXN-C4QJ"/>
    <n v="1"/>
    <n v="1099"/>
    <m/>
    <x v="1"/>
    <x v="0"/>
    <x v="6"/>
  </r>
  <r>
    <s v="404-1364960-1146735"/>
    <x v="71"/>
    <s v="10:09 pm"/>
    <x v="3"/>
    <x v="2"/>
    <s v="Swati"/>
    <x v="19"/>
    <x v="8"/>
    <s v="SKU:  0M-RFE6-443C"/>
    <n v="1"/>
    <n v="399"/>
    <n v="84.96"/>
    <x v="0"/>
    <x v="0"/>
    <x v="2"/>
  </r>
  <r>
    <s v="171-5917046-2682765"/>
    <x v="67"/>
    <s v="10:04 am"/>
    <x v="3"/>
    <x v="1"/>
    <s v="Anku"/>
    <x v="30"/>
    <x v="17"/>
    <s v="SKU:  TQ-OE6K-9DIK"/>
    <n v="1"/>
    <n v="649"/>
    <n v="60.18"/>
    <x v="1"/>
    <x v="0"/>
    <x v="5"/>
  </r>
  <r>
    <s v="408-9069501-2731541"/>
    <x v="72"/>
    <s v="11:10 am"/>
    <x v="2"/>
    <x v="5"/>
    <s v="Shweta"/>
    <x v="3"/>
    <x v="3"/>
    <s v="SKU:  O9-OVS7-G9XK"/>
    <n v="1"/>
    <n v="399"/>
    <m/>
    <x v="0"/>
    <x v="0"/>
    <x v="2"/>
  </r>
  <r>
    <s v="403-3308024-9965128"/>
    <x v="11"/>
    <s v=" 9:04 am"/>
    <x v="1"/>
    <x v="2"/>
    <s v="Madhavi"/>
    <x v="16"/>
    <x v="2"/>
    <s v="SKU:  G4-B5GQ-8V30"/>
    <n v="1"/>
    <n v="399"/>
    <n v="84.96"/>
    <x v="0"/>
    <x v="0"/>
    <x v="4"/>
  </r>
  <r>
    <s v="405-7861224-4380325"/>
    <x v="8"/>
    <s v="12:48 pm"/>
    <x v="4"/>
    <x v="2"/>
    <s v="Gaurang"/>
    <x v="28"/>
    <x v="16"/>
    <s v="SKU:  2X-3C0F-KNJE"/>
    <n v="1"/>
    <n v="449"/>
    <n v="84.96"/>
    <x v="0"/>
    <x v="0"/>
    <x v="0"/>
  </r>
  <r>
    <s v="406-9977841-6948310"/>
    <x v="73"/>
    <s v=" 6:59 am"/>
    <x v="3"/>
    <x v="3"/>
    <s v="Pramod"/>
    <x v="49"/>
    <x v="5"/>
    <s v="SKU:  0M-RFE6-443C"/>
    <n v="1"/>
    <s v=""/>
    <n v="84.96"/>
    <x v="0"/>
    <x v="0"/>
    <x v="2"/>
  </r>
  <r>
    <s v="171-6267238-3345112"/>
    <x v="62"/>
    <s v=" 9:55 pm"/>
    <x v="3"/>
    <x v="2"/>
    <s v="Geetika"/>
    <x v="19"/>
    <x v="8"/>
    <s v="SKU:  DN-0WDX-VYOT"/>
    <n v="3"/>
    <n v="1347"/>
    <n v="84.96"/>
    <x v="0"/>
    <x v="0"/>
    <x v="1"/>
  </r>
  <r>
    <s v="405-3304794-2671568"/>
    <x v="74"/>
    <s v=" 8:46 pm"/>
    <x v="4"/>
    <x v="1"/>
    <s v="Shobhit"/>
    <x v="22"/>
    <x v="13"/>
    <s v="SKU:  D9-CVL3-8JF6"/>
    <n v="1"/>
    <n v="549"/>
    <n v="84.96"/>
    <x v="0"/>
    <x v="0"/>
    <x v="0"/>
  </r>
  <r>
    <s v="404-3621013-4015566"/>
    <x v="75"/>
    <s v=" 7:08 am"/>
    <x v="0"/>
    <x v="5"/>
    <s v="Roohi"/>
    <x v="7"/>
    <x v="6"/>
    <s v="SKU:  54-D265-B74K"/>
    <n v="1"/>
    <n v="399"/>
    <m/>
    <x v="1"/>
    <x v="0"/>
    <x v="2"/>
  </r>
  <r>
    <s v="407-9473791-2643568"/>
    <x v="76"/>
    <s v="12:04 am"/>
    <x v="6"/>
    <x v="6"/>
    <s v="Chandrima"/>
    <x v="50"/>
    <x v="4"/>
    <s v="SKU:  P1-LF2X-L3ZC"/>
    <n v="1"/>
    <n v="449"/>
    <n v="60.18"/>
    <x v="0"/>
    <x v="0"/>
    <x v="0"/>
  </r>
  <r>
    <s v="171-5463316-4433940"/>
    <x v="77"/>
    <s v=" 5:31 pm"/>
    <x v="3"/>
    <x v="7"/>
    <s v="Vadim"/>
    <x v="22"/>
    <x v="13"/>
    <s v="SKU:  GP-RMI4-GJ6L"/>
    <n v="1"/>
    <n v="549"/>
    <n v="84.96"/>
    <x v="1"/>
    <x v="0"/>
    <x v="0"/>
  </r>
  <r>
    <s v="406-8570816-2548324"/>
    <x v="78"/>
    <s v="10:25 am"/>
    <x v="0"/>
    <x v="7"/>
    <s v="Pallavi"/>
    <x v="3"/>
    <x v="3"/>
    <s v="SKU:  UR-WJJ0-I3TN"/>
    <n v="1"/>
    <n v="499"/>
    <n v="84.96"/>
    <x v="0"/>
    <x v="0"/>
    <x v="2"/>
  </r>
  <r>
    <s v="171-1925470-1621156"/>
    <x v="79"/>
    <s v="11:42 am"/>
    <x v="1"/>
    <x v="7"/>
    <s v="Deepali"/>
    <x v="51"/>
    <x v="20"/>
    <s v="SKU:  DN-0WDX-VYOT"/>
    <n v="1"/>
    <n v="449"/>
    <n v="84.96"/>
    <x v="1"/>
    <x v="0"/>
    <x v="1"/>
  </r>
  <r>
    <s v="404-9528809-9494717"/>
    <x v="80"/>
    <s v=" 9:43 pm"/>
    <x v="5"/>
    <x v="7"/>
    <s v="Dr."/>
    <x v="52"/>
    <x v="4"/>
    <s v="SKU:  TQ-OE6K-9DIK"/>
    <n v="1"/>
    <n v="649"/>
    <n v="60.18"/>
    <x v="0"/>
    <x v="0"/>
    <x v="5"/>
  </r>
  <r>
    <s v="404-3361026-0027538"/>
    <x v="49"/>
    <s v=" 6:09 pm"/>
    <x v="5"/>
    <x v="2"/>
    <s v="Sayanti"/>
    <x v="53"/>
    <x v="5"/>
    <s v="SKU:  7K-6YIU-KO0R"/>
    <n v="1"/>
    <n v="399"/>
    <n v="84.96"/>
    <x v="0"/>
    <x v="0"/>
    <x v="4"/>
  </r>
  <r>
    <s v="408-1794879-4342714"/>
    <x v="81"/>
    <s v="12:02 pm"/>
    <x v="3"/>
    <x v="8"/>
    <s v="Apoorva"/>
    <x v="7"/>
    <x v="6"/>
    <s v="SKU:  PG-WS6J-89DG"/>
    <n v="1"/>
    <s v=""/>
    <n v="84.96"/>
    <x v="0"/>
    <x v="0"/>
    <x v="0"/>
  </r>
  <r>
    <s v="403-2108547-9065907"/>
    <x v="82"/>
    <s v="11:22 pm"/>
    <x v="3"/>
    <x v="6"/>
    <s v="Rishugarg"/>
    <x v="0"/>
    <x v="21"/>
    <s v="SKU:  54-D265-B74K"/>
    <n v="1"/>
    <n v="475"/>
    <n v="84.96"/>
    <x v="1"/>
    <x v="0"/>
    <x v="2"/>
  </r>
  <r>
    <s v="405-0789055-6741110"/>
    <x v="76"/>
    <s v=" 8:44 pm"/>
    <x v="6"/>
    <x v="6"/>
    <s v="Harshini"/>
    <x v="54"/>
    <x v="2"/>
    <s v="SKU:  W4-JQ2J-ZUF2"/>
    <n v="1"/>
    <n v="399"/>
    <n v="84.96"/>
    <x v="1"/>
    <x v="0"/>
    <x v="4"/>
  </r>
  <r>
    <s v="171-4664401-7903525"/>
    <x v="83"/>
    <s v=" 6:00 am"/>
    <x v="0"/>
    <x v="8"/>
    <s v="Madhuparna"/>
    <x v="14"/>
    <x v="4"/>
    <s v="SKU:  NT-6I2C-2TWX"/>
    <n v="1"/>
    <n v="1299"/>
    <n v="80.239999999999995"/>
    <x v="0"/>
    <x v="0"/>
    <x v="6"/>
  </r>
  <r>
    <s v="406-1051099-3807565"/>
    <x v="84"/>
    <s v=" 7:13 pm"/>
    <x v="2"/>
    <x v="7"/>
    <s v="Shakti"/>
    <x v="0"/>
    <x v="0"/>
    <s v="SKU:  2X-3C0F-KNJE"/>
    <n v="1"/>
    <n v="449"/>
    <n v="84.96"/>
    <x v="0"/>
    <x v="0"/>
    <x v="0"/>
  </r>
  <r>
    <s v="408-9435263-6891514"/>
    <x v="85"/>
    <s v=" 3:48 pm"/>
    <x v="3"/>
    <x v="8"/>
    <s v="Sharmila"/>
    <x v="53"/>
    <x v="5"/>
    <s v="SKU:  SB-WDQN-SDN9"/>
    <n v="1"/>
    <n v="1299"/>
    <n v="146.32"/>
    <x v="0"/>
    <x v="0"/>
    <x v="6"/>
  </r>
  <r>
    <s v="405-0868310-6684357"/>
    <x v="86"/>
    <s v=" 3:57 pm"/>
    <x v="6"/>
    <x v="8"/>
    <s v="Monali"/>
    <x v="55"/>
    <x v="22"/>
    <s v="SKU:  X2-PMD5-PL2D"/>
    <n v="1"/>
    <n v="549"/>
    <n v="60.18"/>
    <x v="1"/>
    <x v="0"/>
    <x v="0"/>
  </r>
  <r>
    <s v="407-2925312-1225952"/>
    <x v="87"/>
    <s v=" 9:22 pm"/>
    <x v="2"/>
    <x v="8"/>
    <s v="Anjali"/>
    <x v="19"/>
    <x v="8"/>
    <s v="SKU:  54-D265-B74K"/>
    <n v="1"/>
    <n v="399"/>
    <n v="84.96"/>
    <x v="0"/>
    <x v="0"/>
    <x v="2"/>
  </r>
  <r>
    <s v="405-0209265-6273962"/>
    <x v="88"/>
    <s v=" 9:37 am"/>
    <x v="0"/>
    <x v="7"/>
    <s v="Gargi"/>
    <x v="31"/>
    <x v="18"/>
    <s v="SKU:  V6-KQJX-XGP2"/>
    <n v="1"/>
    <s v=""/>
    <n v="84.96"/>
    <x v="0"/>
    <x v="1"/>
    <x v="4"/>
  </r>
  <r>
    <s v="403-0102354-2668323"/>
    <x v="78"/>
    <s v=" 2:42 am"/>
    <x v="0"/>
    <x v="7"/>
    <s v="Jeevan"/>
    <x v="16"/>
    <x v="2"/>
    <s v="SKU:  2X-3C0F-KNJE"/>
    <n v="1"/>
    <s v=""/>
    <n v="84.96"/>
    <x v="1"/>
    <x v="0"/>
    <x v="0"/>
  </r>
  <r>
    <s v="407-3924859-8788324"/>
    <x v="89"/>
    <s v=" 4:22 pm"/>
    <x v="5"/>
    <x v="8"/>
    <s v="Kritika"/>
    <x v="56"/>
    <x v="3"/>
    <s v="SKU:  SB-WDQN-SDN9"/>
    <n v="1"/>
    <n v="1299"/>
    <n v="114.46"/>
    <x v="1"/>
    <x v="0"/>
    <x v="6"/>
  </r>
  <r>
    <s v="402-6563725-6606725"/>
    <x v="90"/>
    <s v=" 4:11 pm"/>
    <x v="1"/>
    <x v="8"/>
    <s v="Mitra"/>
    <x v="14"/>
    <x v="4"/>
    <s v="SKU:  SB-WDQN-SDN9"/>
    <n v="3"/>
    <n v="3897"/>
    <n v="133.34"/>
    <x v="0"/>
    <x v="0"/>
    <x v="6"/>
  </r>
  <r>
    <s v="408-3173592-1224340"/>
    <x v="85"/>
    <s v=" 1:22 pm"/>
    <x v="3"/>
    <x v="8"/>
    <s v="Dipali"/>
    <x v="3"/>
    <x v="3"/>
    <s v="SKU:  DN-0WDX-VYOT"/>
    <n v="1"/>
    <n v="449"/>
    <n v="84.96"/>
    <x v="0"/>
    <x v="0"/>
    <x v="1"/>
  </r>
  <r>
    <s v="406-6970801-9059504"/>
    <x v="91"/>
    <s v=" 7:12 pm"/>
    <x v="2"/>
    <x v="8"/>
    <s v="Rebecca"/>
    <x v="57"/>
    <x v="14"/>
    <s v="SKU:  CR-6E69-UXFW"/>
    <n v="1"/>
    <n v="449"/>
    <n v="84.96"/>
    <x v="0"/>
    <x v="0"/>
    <x v="0"/>
  </r>
  <r>
    <s v="407-7313002-2067527"/>
    <x v="92"/>
    <s v="11:44 pm"/>
    <x v="6"/>
    <x v="6"/>
    <s v="Pavithra"/>
    <x v="44"/>
    <x v="10"/>
    <s v="SKU:  4H-Y62P-R483"/>
    <n v="1"/>
    <n v="1499"/>
    <n v="114.46"/>
    <x v="0"/>
    <x v="0"/>
    <x v="7"/>
  </r>
  <r>
    <s v="402-9977250-1302757"/>
    <x v="90"/>
    <s v=" 4:15 pm"/>
    <x v="1"/>
    <x v="8"/>
    <s v="Mitra"/>
    <x v="44"/>
    <x v="10"/>
    <s v="SKU:  SB-WDQN-SDN9"/>
    <n v="3"/>
    <n v="3897"/>
    <n v="241.9"/>
    <x v="0"/>
    <x v="0"/>
    <x v="6"/>
  </r>
  <r>
    <s v="404-7450458-9882702"/>
    <x v="89"/>
    <s v="11:29 pm"/>
    <x v="5"/>
    <x v="8"/>
    <s v="Arpita"/>
    <x v="58"/>
    <x v="3"/>
    <s v="SKU:  4V-I7XD-JQVR"/>
    <n v="1"/>
    <n v="349"/>
    <n v="84.96"/>
    <x v="0"/>
    <x v="0"/>
    <x v="0"/>
  </r>
  <r>
    <s v="402-4007700-9289906"/>
    <x v="93"/>
    <s v=" 1:03 pm"/>
    <x v="5"/>
    <x v="8"/>
    <s v="Valli"/>
    <x v="16"/>
    <x v="2"/>
    <s v="SKU:  8V-OQ14-I63T"/>
    <n v="1"/>
    <n v="449"/>
    <n v="84.96"/>
    <x v="0"/>
    <x v="0"/>
    <x v="0"/>
  </r>
  <r>
    <s v="408-9442756-9477100"/>
    <x v="94"/>
    <s v="11:58 am"/>
    <x v="2"/>
    <x v="6"/>
    <s v="Amit"/>
    <x v="59"/>
    <x v="23"/>
    <s v="SKU:  CR-6E69-UXFW"/>
    <n v="1"/>
    <n v="449"/>
    <n v="84.96"/>
    <x v="0"/>
    <x v="0"/>
    <x v="0"/>
  </r>
  <r>
    <s v="403-7552858-2817166"/>
    <x v="95"/>
    <s v=" 2:28 pm"/>
    <x v="4"/>
    <x v="8"/>
    <s v="Anastasiia"/>
    <x v="21"/>
    <x v="12"/>
    <s v="SKU:  W4-JQ2J-ZUF2"/>
    <n v="1"/>
    <n v="399"/>
    <n v="84.96"/>
    <x v="0"/>
    <x v="0"/>
    <x v="4"/>
  </r>
  <r>
    <s v="404-9326436-3517161"/>
    <x v="96"/>
    <s v=" 1:03 pm"/>
    <x v="2"/>
    <x v="8"/>
    <s v="Santhosh"/>
    <x v="7"/>
    <x v="6"/>
    <s v="SKU:  4V-I7XD-JQVR"/>
    <n v="1"/>
    <n v="349"/>
    <n v="84.96"/>
    <x v="0"/>
    <x v="0"/>
    <x v="0"/>
  </r>
  <r>
    <s v="405-8264291-1183552"/>
    <x v="97"/>
    <s v=" 1:46 pm"/>
    <x v="1"/>
    <x v="7"/>
    <s v="Aditi"/>
    <x v="22"/>
    <x v="13"/>
    <s v="SKU:  94-TSV3-EIW6"/>
    <n v="1"/>
    <n v="449"/>
    <n v="84.96"/>
    <x v="0"/>
    <x v="0"/>
    <x v="0"/>
  </r>
  <r>
    <s v="403-9089686-7304307"/>
    <x v="89"/>
    <s v="10:25 pm"/>
    <x v="5"/>
    <x v="8"/>
    <s v="J"/>
    <x v="7"/>
    <x v="6"/>
    <s v="SKU:  ST-27BR-VEMQ"/>
    <n v="1"/>
    <n v="899"/>
    <n v="114.46"/>
    <x v="0"/>
    <x v="0"/>
    <x v="8"/>
  </r>
  <r>
    <s v="403-3882329-3552343"/>
    <x v="98"/>
    <s v="11:49 am"/>
    <x v="3"/>
    <x v="7"/>
    <s v="Maha"/>
    <x v="26"/>
    <x v="10"/>
    <s v="SKU:  3F-4R9N-Z8NJ"/>
    <n v="1"/>
    <n v="475"/>
    <n v="84.96"/>
    <x v="0"/>
    <x v="0"/>
    <x v="2"/>
  </r>
  <r>
    <s v="407-4026447-7131527"/>
    <x v="95"/>
    <s v="10:32 pm"/>
    <x v="4"/>
    <x v="8"/>
    <s v="Chandrima"/>
    <x v="7"/>
    <x v="6"/>
    <s v="SKU:  NV-1DWM-41VX"/>
    <n v="1"/>
    <n v="549"/>
    <n v="84.96"/>
    <x v="0"/>
    <x v="0"/>
    <x v="0"/>
  </r>
  <r>
    <s v="171-5230421-3237921"/>
    <x v="87"/>
    <s v="12:15 am"/>
    <x v="2"/>
    <x v="8"/>
    <s v="Geetika"/>
    <x v="19"/>
    <x v="8"/>
    <s v="SKU:  DN-0WDX-VYOT"/>
    <n v="1"/>
    <n v="449"/>
    <n v="84.96"/>
    <x v="0"/>
    <x v="0"/>
    <x v="1"/>
  </r>
  <r>
    <s v="403-2445664-7853913"/>
    <x v="91"/>
    <s v="12:58 pm"/>
    <x v="2"/>
    <x v="8"/>
    <s v="Vvijayakakshmi"/>
    <x v="44"/>
    <x v="10"/>
    <s v="SKU:  AY-Z7BT-BMVM"/>
    <n v="1"/>
    <n v="399"/>
    <n v="84.96"/>
    <x v="0"/>
    <x v="0"/>
    <x v="4"/>
  </r>
  <r>
    <s v="407-8892478-3863557"/>
    <x v="99"/>
    <s v=" 7:12 pm"/>
    <x v="5"/>
    <x v="6"/>
    <s v="Tapan"/>
    <x v="60"/>
    <x v="5"/>
    <s v="SKU:  NN-AGEZ-5DUM"/>
    <n v="1"/>
    <n v="449"/>
    <n v="84.96"/>
    <x v="0"/>
    <x v="0"/>
    <x v="0"/>
  </r>
  <r>
    <s v="171-3919731-3769907"/>
    <x v="79"/>
    <s v="11:32 am"/>
    <x v="1"/>
    <x v="7"/>
    <s v="Deepali"/>
    <x v="51"/>
    <x v="20"/>
    <s v="SKU:  DN-0WDX-VYOT"/>
    <n v="1"/>
    <s v=""/>
    <n v="84.96"/>
    <x v="0"/>
    <x v="1"/>
    <x v="1"/>
  </r>
  <r>
    <s v="171-3733329-6916359"/>
    <x v="100"/>
    <s v=" 5:53 pm"/>
    <x v="6"/>
    <x v="8"/>
    <s v="Shahin"/>
    <x v="3"/>
    <x v="3"/>
    <s v="SKU:  DN-0WDX-VYOT"/>
    <n v="1"/>
    <n v="449"/>
    <n v="84.96"/>
    <x v="1"/>
    <x v="0"/>
    <x v="1"/>
  </r>
  <r>
    <s v="171-7361479-0297146"/>
    <x v="100"/>
    <s v="11:38 am"/>
    <x v="6"/>
    <x v="8"/>
    <s v="Amol"/>
    <x v="12"/>
    <x v="3"/>
    <s v="SKU:  DN-0WDX-VYOT"/>
    <n v="4"/>
    <n v="1796"/>
    <n v="84.96"/>
    <x v="0"/>
    <x v="0"/>
    <x v="1"/>
  </r>
  <r>
    <s v="408-9200041-8517139"/>
    <x v="101"/>
    <s v=" 5:51 pm"/>
    <x v="0"/>
    <x v="7"/>
    <s v="Rohit"/>
    <x v="54"/>
    <x v="2"/>
    <s v="SKU:  CR-6E69-UXFW"/>
    <n v="1"/>
    <n v="449"/>
    <n v="84.96"/>
    <x v="0"/>
    <x v="0"/>
    <x v="0"/>
  </r>
  <r>
    <s v="408-3276798-6731502"/>
    <x v="102"/>
    <s v=" 7:49 pm"/>
    <x v="1"/>
    <x v="2"/>
    <s v="Kumar"/>
    <x v="7"/>
    <x v="6"/>
    <s v="SKU:  NN-AGEZ-5DUM"/>
    <n v="1"/>
    <n v="449"/>
    <n v="84.96"/>
    <x v="0"/>
    <x v="0"/>
    <x v="0"/>
  </r>
  <r>
    <s v="405-7588425-0136360"/>
    <x v="95"/>
    <s v="12:43 am"/>
    <x v="4"/>
    <x v="8"/>
    <s v="Gargi"/>
    <x v="14"/>
    <x v="4"/>
    <s v="SKU:  NV-1DWM-41VX"/>
    <n v="1"/>
    <n v="549"/>
    <n v="47.2"/>
    <x v="0"/>
    <x v="0"/>
    <x v="0"/>
  </r>
  <r>
    <s v="406-6034782-6293117"/>
    <x v="103"/>
    <s v=" 9:55 pm"/>
    <x v="6"/>
    <x v="8"/>
    <s v="Nandini"/>
    <x v="14"/>
    <x v="4"/>
    <s v="SKU:  W4-JQ2J-ZUF2"/>
    <n v="1"/>
    <n v="399"/>
    <n v="47.2"/>
    <x v="0"/>
    <x v="0"/>
    <x v="4"/>
  </r>
  <r>
    <s v="403-1376026-4537157"/>
    <x v="78"/>
    <s v=" 7:13 pm"/>
    <x v="0"/>
    <x v="7"/>
    <s v="Ongc"/>
    <x v="61"/>
    <x v="16"/>
    <s v="SKU:  5B-NW9K-L3AO"/>
    <n v="1"/>
    <n v="349"/>
    <n v="84.96"/>
    <x v="0"/>
    <x v="0"/>
    <x v="0"/>
  </r>
  <r>
    <s v="402-3108828-3083537"/>
    <x v="96"/>
    <s v=" 8:44 am"/>
    <x v="2"/>
    <x v="8"/>
    <s v="Rajat"/>
    <x v="62"/>
    <x v="24"/>
    <s v="SKU:  DN-0WDX-VYOT"/>
    <n v="1"/>
    <n v="449"/>
    <n v="84.96"/>
    <x v="1"/>
    <x v="0"/>
    <x v="1"/>
  </r>
  <r>
    <s v="171-5110229-2797921"/>
    <x v="104"/>
    <s v=" 5:23 pm"/>
    <x v="0"/>
    <x v="7"/>
    <s v="Ria"/>
    <x v="14"/>
    <x v="4"/>
    <s v="SKU:  3F-4R9N-Z8NJ"/>
    <n v="1"/>
    <n v="475"/>
    <n v="47.2"/>
    <x v="0"/>
    <x v="0"/>
    <x v="2"/>
  </r>
  <r>
    <s v="171-1659664-7877932"/>
    <x v="105"/>
    <s v=" 9:29 pm"/>
    <x v="2"/>
    <x v="6"/>
    <s v="Saba"/>
    <x v="63"/>
    <x v="5"/>
    <s v="SKU:  CR-6E69-UXFW"/>
    <n v="1"/>
    <n v="449"/>
    <n v="84.96"/>
    <x v="1"/>
    <x v="0"/>
    <x v="0"/>
  </r>
  <r>
    <s v="404-5325305-3342738"/>
    <x v="106"/>
    <s v=" 7:17 pm"/>
    <x v="2"/>
    <x v="6"/>
    <s v="Poonam"/>
    <x v="3"/>
    <x v="3"/>
    <s v="SKU:  5B-NW9K-L3AO"/>
    <n v="1"/>
    <n v="349"/>
    <n v="84.96"/>
    <x v="0"/>
    <x v="0"/>
    <x v="0"/>
  </r>
  <r>
    <s v="408-4117801-6732368"/>
    <x v="107"/>
    <s v=" 7:35 pm"/>
    <x v="3"/>
    <x v="7"/>
    <s v="Vaishali"/>
    <x v="64"/>
    <x v="5"/>
    <s v="SKU:  PG-WS6J-89DG"/>
    <n v="1"/>
    <n v="449"/>
    <n v="84.96"/>
    <x v="0"/>
    <x v="0"/>
    <x v="0"/>
  </r>
  <r>
    <s v="405-0409316-6263510"/>
    <x v="108"/>
    <s v=" 8:29 pm"/>
    <x v="5"/>
    <x v="8"/>
    <s v="Faruk"/>
    <x v="65"/>
    <x v="4"/>
    <s v="SKU:  3F-4R9N-Z8NJ"/>
    <n v="1"/>
    <n v="475"/>
    <n v="60.18"/>
    <x v="0"/>
    <x v="0"/>
    <x v="2"/>
  </r>
  <r>
    <s v="407-0369001-6370762"/>
    <x v="109"/>
    <s v="12:28 am"/>
    <x v="0"/>
    <x v="7"/>
    <s v="Pavithra"/>
    <x v="44"/>
    <x v="10"/>
    <s v="SKU:  G4-B5GQ-8V30"/>
    <n v="1"/>
    <n v="399"/>
    <n v="84.96"/>
    <x v="0"/>
    <x v="0"/>
    <x v="4"/>
  </r>
  <r>
    <s v="402-1369108-5988348"/>
    <x v="85"/>
    <s v="11:29 am"/>
    <x v="3"/>
    <x v="8"/>
    <s v="Mariatta"/>
    <x v="66"/>
    <x v="10"/>
    <s v="SKU:  DN-0WDX-VYOT"/>
    <n v="1"/>
    <n v="449"/>
    <n v="84.96"/>
    <x v="1"/>
    <x v="0"/>
    <x v="1"/>
  </r>
  <r>
    <s v="405-7352232-5348320"/>
    <x v="110"/>
    <s v=" 7:41 am"/>
    <x v="0"/>
    <x v="8"/>
    <s v="Divya"/>
    <x v="7"/>
    <x v="6"/>
    <s v="SKU:  DN-0WDX-VYOT"/>
    <n v="1"/>
    <s v=""/>
    <n v="84.96"/>
    <x v="0"/>
    <x v="1"/>
    <x v="1"/>
  </r>
  <r>
    <s v="171-8930811-8770760"/>
    <x v="111"/>
    <s v=" 7:52 pm"/>
    <x v="5"/>
    <x v="6"/>
    <s v="Shishir"/>
    <x v="67"/>
    <x v="5"/>
    <s v="SKU:  4V-I7XD-JQVR"/>
    <n v="1"/>
    <n v="349"/>
    <n v="60.18"/>
    <x v="0"/>
    <x v="0"/>
    <x v="0"/>
  </r>
  <r>
    <s v="404-5892855-1521926"/>
    <x v="112"/>
    <s v="11:11 am"/>
    <x v="2"/>
    <x v="8"/>
    <s v="Veena"/>
    <x v="7"/>
    <x v="6"/>
    <s v="SKU:  V6-VUWR-856W"/>
    <n v="1"/>
    <n v="549"/>
    <n v="84.96"/>
    <x v="0"/>
    <x v="0"/>
    <x v="0"/>
  </r>
  <r>
    <s v="403-0543607-1044310"/>
    <x v="113"/>
    <s v=" 6:45 am"/>
    <x v="1"/>
    <x v="6"/>
    <s v="Gita"/>
    <x v="44"/>
    <x v="10"/>
    <s v="SKU:  CR-6E69-UXFW"/>
    <n v="1"/>
    <n v="449"/>
    <n v="84.96"/>
    <x v="0"/>
    <x v="0"/>
    <x v="0"/>
  </r>
  <r>
    <s v="171-4338001-7654754"/>
    <x v="109"/>
    <s v=" 9:33 pm"/>
    <x v="0"/>
    <x v="7"/>
    <s v="Srisoma"/>
    <x v="22"/>
    <x v="13"/>
    <s v="SKU:  U1-8YOK-510E"/>
    <n v="1"/>
    <n v="449"/>
    <n v="84.96"/>
    <x v="0"/>
    <x v="0"/>
    <x v="0"/>
  </r>
  <r>
    <s v="408-5721047-6522728"/>
    <x v="114"/>
    <s v=" 7:09 pm"/>
    <x v="0"/>
    <x v="8"/>
    <s v="Ashna"/>
    <x v="0"/>
    <x v="0"/>
    <s v="SKU:  DN-0WDX-VYOT"/>
    <n v="1"/>
    <s v=""/>
    <n v="84.96"/>
    <x v="0"/>
    <x v="0"/>
    <x v="1"/>
  </r>
  <r>
    <s v="402-5940762-2914747"/>
    <x v="101"/>
    <s v=" 3:01 pm"/>
    <x v="0"/>
    <x v="7"/>
    <s v="Swathi"/>
    <x v="21"/>
    <x v="12"/>
    <s v="SKU:  0M-RFE6-443C"/>
    <n v="1"/>
    <n v="475"/>
    <n v="84.96"/>
    <x v="0"/>
    <x v="0"/>
    <x v="2"/>
  </r>
  <r>
    <s v="407-6814126-3628337"/>
    <x v="87"/>
    <s v="11:54 pm"/>
    <x v="2"/>
    <x v="8"/>
    <s v="Aarti"/>
    <x v="68"/>
    <x v="16"/>
    <s v="SKU:  S1-A92Q-JU3X"/>
    <n v="1"/>
    <n v="399"/>
    <n v="84.96"/>
    <x v="1"/>
    <x v="0"/>
    <x v="4"/>
  </r>
  <r>
    <s v="171-3007462-1281169"/>
    <x v="115"/>
    <s v=" 9:14 pm"/>
    <x v="3"/>
    <x v="6"/>
    <s v="Captain"/>
    <x v="14"/>
    <x v="4"/>
    <s v="SKU:  78-ZYA1-UMZH"/>
    <n v="1"/>
    <n v="449"/>
    <n v="47.2"/>
    <x v="1"/>
    <x v="0"/>
    <x v="0"/>
  </r>
  <r>
    <s v="403-8215280-0912306"/>
    <x v="78"/>
    <s v=" 1:37 pm"/>
    <x v="0"/>
    <x v="7"/>
    <s v="Gita"/>
    <x v="44"/>
    <x v="10"/>
    <s v="SKU:  CR-6E69-UXFW"/>
    <n v="1"/>
    <s v=""/>
    <n v="84.96"/>
    <x v="1"/>
    <x v="1"/>
    <x v="0"/>
  </r>
  <r>
    <s v="402-2278272-1998728"/>
    <x v="100"/>
    <s v=" 4:15 pm"/>
    <x v="6"/>
    <x v="8"/>
    <s v="Dalreen"/>
    <x v="7"/>
    <x v="6"/>
    <s v="SKU:  DN-0WDX-VYOT"/>
    <n v="1"/>
    <n v="449"/>
    <n v="84.96"/>
    <x v="0"/>
    <x v="0"/>
    <x v="1"/>
  </r>
  <r>
    <s v="405-3911719-8266724"/>
    <x v="91"/>
    <s v=" 6:53 pm"/>
    <x v="2"/>
    <x v="8"/>
    <s v="Anil"/>
    <x v="69"/>
    <x v="5"/>
    <s v="SKU:  DN-0WDX-VYOT"/>
    <n v="1"/>
    <n v="449"/>
    <n v="84.96"/>
    <x v="0"/>
    <x v="0"/>
    <x v="1"/>
  </r>
  <r>
    <s v="406-5755913-6641938"/>
    <x v="115"/>
    <s v=" 8:47 am"/>
    <x v="3"/>
    <x v="6"/>
    <s v="Shikha"/>
    <x v="56"/>
    <x v="3"/>
    <s v="SKU:  WR-ANCX-U28C"/>
    <n v="1"/>
    <n v="449"/>
    <n v="84.96"/>
    <x v="0"/>
    <x v="0"/>
    <x v="0"/>
  </r>
  <r>
    <s v="171-7565385-5722750"/>
    <x v="98"/>
    <s v="10:57 am"/>
    <x v="3"/>
    <x v="7"/>
    <s v="Vadim"/>
    <x v="22"/>
    <x v="13"/>
    <s v="SKU:  2X-3C0F-KNJE"/>
    <n v="1"/>
    <n v="449"/>
    <n v="84.96"/>
    <x v="1"/>
    <x v="0"/>
    <x v="0"/>
  </r>
  <r>
    <s v="402-8044719-8889119"/>
    <x v="95"/>
    <s v="10:28 pm"/>
    <x v="4"/>
    <x v="8"/>
    <s v="Swathi"/>
    <x v="21"/>
    <x v="12"/>
    <s v="SKU:  3F-4R9N-Z8NJ"/>
    <n v="1"/>
    <n v="399"/>
    <n v="84.96"/>
    <x v="0"/>
    <x v="0"/>
    <x v="2"/>
  </r>
  <r>
    <s v="402-1808225-2809140"/>
    <x v="116"/>
    <s v=" 4:03 pm"/>
    <x v="4"/>
    <x v="8"/>
    <s v="User"/>
    <x v="70"/>
    <x v="25"/>
    <s v="SKU:  S1-A92Q-JU3X"/>
    <n v="1"/>
    <n v="399"/>
    <n v="84.96"/>
    <x v="0"/>
    <x v="0"/>
    <x v="4"/>
  </r>
  <r>
    <s v="171-2829978-1258758"/>
    <x v="93"/>
    <s v="11:30 am"/>
    <x v="5"/>
    <x v="8"/>
    <s v="Shahin"/>
    <x v="3"/>
    <x v="3"/>
    <s v="SKU:  DN-0WDX-VYOT"/>
    <n v="3"/>
    <n v="1347"/>
    <n v="84.96"/>
    <x v="1"/>
    <x v="0"/>
    <x v="1"/>
  </r>
  <r>
    <s v="402-3045457-5360311"/>
    <x v="91"/>
    <s v="12:18 pm"/>
    <x v="2"/>
    <x v="8"/>
    <s v="Sharmistha"/>
    <x v="71"/>
    <x v="26"/>
    <s v="SKU:  SB-WDQN-SDN9"/>
    <n v="1"/>
    <n v="1299"/>
    <n v="114.46"/>
    <x v="0"/>
    <x v="0"/>
    <x v="6"/>
  </r>
  <r>
    <s v="408-2260162-8323567"/>
    <x v="85"/>
    <s v=" 6:55 pm"/>
    <x v="3"/>
    <x v="8"/>
    <s v="Shashank"/>
    <x v="72"/>
    <x v="7"/>
    <s v="SKU:  SB-WDQN-SDN9"/>
    <n v="1"/>
    <n v="1299"/>
    <n v="105.02"/>
    <x v="0"/>
    <x v="0"/>
    <x v="6"/>
  </r>
  <r>
    <s v="403-5664951-8941100"/>
    <x v="105"/>
    <s v="12:43 am"/>
    <x v="2"/>
    <x v="6"/>
    <s v="Jayeta"/>
    <x v="14"/>
    <x v="4"/>
    <s v="SKU:  N8-YFZF-P74I"/>
    <n v="1"/>
    <n v="1499"/>
    <n v="80.239999999999995"/>
    <x v="1"/>
    <x v="0"/>
    <x v="7"/>
  </r>
  <r>
    <s v="402-4845680-8041921"/>
    <x v="83"/>
    <s v=" 6:21 pm"/>
    <x v="0"/>
    <x v="8"/>
    <s v="Varun"/>
    <x v="3"/>
    <x v="3"/>
    <s v="SKU:  2X-3C0F-KNJE"/>
    <n v="1"/>
    <n v="449"/>
    <n v="84.96"/>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8:A9" firstHeaderRow="1" firstDataRow="1" firstDataCol="0"/>
  <pivotFields count="16">
    <pivotField dataField="1" showAll="0"/>
    <pivotField numFmtId="14" showAll="0"/>
    <pivotField showAll="0"/>
    <pivotField showAll="0"/>
    <pivotField showAll="0">
      <items count="10">
        <item x="7"/>
        <item x="6"/>
        <item x="4"/>
        <item x="0"/>
        <item x="5"/>
        <item x="3"/>
        <item x="1"/>
        <item x="2"/>
        <item x="8"/>
        <item t="default"/>
      </items>
    </pivotField>
    <pivotField showAll="0"/>
    <pivotField showAll="0"/>
    <pivotField showAll="0">
      <items count="28">
        <item x="12"/>
        <item x="1"/>
        <item x="17"/>
        <item x="22"/>
        <item x="0"/>
        <item x="21"/>
        <item x="7"/>
        <item x="13"/>
        <item x="14"/>
        <item x="16"/>
        <item x="8"/>
        <item x="25"/>
        <item x="15"/>
        <item x="6"/>
        <item x="18"/>
        <item x="23"/>
        <item x="3"/>
        <item x="24"/>
        <item x="11"/>
        <item x="19"/>
        <item x="20"/>
        <item x="10"/>
        <item x="2"/>
        <item x="9"/>
        <item x="5"/>
        <item x="26"/>
        <item x="4"/>
        <item t="default"/>
      </items>
    </pivotField>
    <pivotField showAll="0"/>
    <pivotField numFmtId="1" showAll="0"/>
    <pivotField showAll="0"/>
    <pivotField showAll="0"/>
    <pivotField showAll="0">
      <items count="3">
        <item x="1"/>
        <item x="0"/>
        <item t="default"/>
      </items>
    </pivotField>
    <pivotField showAll="0">
      <items count="3">
        <item x="0"/>
        <item x="1"/>
        <item t="default"/>
      </items>
    </pivotField>
    <pivotField showAll="0"/>
    <pivotField showAll="0" defaultSubtotal="0">
      <items count="4">
        <item x="0"/>
        <item x="1"/>
        <item x="2"/>
        <item x="3"/>
      </items>
    </pivotField>
  </pivotFields>
  <rowItems count="1">
    <i/>
  </rowItems>
  <colItems count="1">
    <i/>
  </colItems>
  <dataFields count="1">
    <dataField name="Total orders" fld="0" subtotal="count" baseField="0"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16">
    <pivotField showAll="0"/>
    <pivotField numFmtId="14" showAll="0"/>
    <pivotField showAll="0"/>
    <pivotField showAll="0"/>
    <pivotField showAll="0">
      <items count="10">
        <item x="7"/>
        <item x="6"/>
        <item x="4"/>
        <item x="0"/>
        <item x="5"/>
        <item x="3"/>
        <item x="1"/>
        <item x="2"/>
        <item x="8"/>
        <item t="default"/>
      </items>
    </pivotField>
    <pivotField showAll="0"/>
    <pivotField showAll="0"/>
    <pivotField showAll="0">
      <items count="28">
        <item x="12"/>
        <item x="1"/>
        <item x="17"/>
        <item x="22"/>
        <item x="0"/>
        <item x="21"/>
        <item x="7"/>
        <item x="13"/>
        <item x="14"/>
        <item x="16"/>
        <item x="8"/>
        <item x="25"/>
        <item x="15"/>
        <item x="6"/>
        <item x="18"/>
        <item x="23"/>
        <item x="3"/>
        <item x="24"/>
        <item x="11"/>
        <item x="19"/>
        <item x="20"/>
        <item x="10"/>
        <item x="2"/>
        <item x="9"/>
        <item x="5"/>
        <item x="26"/>
        <item x="4"/>
        <item t="default"/>
      </items>
    </pivotField>
    <pivotField showAll="0"/>
    <pivotField numFmtId="1" showAll="0"/>
    <pivotField dataField="1" showAll="0"/>
    <pivotField showAll="0"/>
    <pivotField showAll="0">
      <items count="3">
        <item x="1"/>
        <item x="0"/>
        <item t="default"/>
      </items>
    </pivotField>
    <pivotField showAll="0">
      <items count="3">
        <item x="0"/>
        <item x="1"/>
        <item t="default"/>
      </items>
    </pivotField>
    <pivotField showAll="0"/>
    <pivotField showAll="0" defaultSubtotal="0">
      <items count="4">
        <item x="0"/>
        <item x="1"/>
        <item x="2"/>
        <item x="3"/>
      </items>
    </pivotField>
  </pivotFields>
  <rowItems count="1">
    <i/>
  </rowItems>
  <colItems count="1">
    <i/>
  </colItems>
  <dataFields count="1">
    <dataField name="Total sales" fld="10"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5" rowHeaderCaption="Top  states">
  <location ref="D8:E14" firstHeaderRow="1" firstDataRow="1" firstDataCol="1"/>
  <pivotFields count="16">
    <pivotField showAll="0"/>
    <pivotField numFmtId="14" showAll="0"/>
    <pivotField showAll="0"/>
    <pivotField showAll="0"/>
    <pivotField showAll="0">
      <items count="10">
        <item x="7"/>
        <item x="6"/>
        <item x="4"/>
        <item x="0"/>
        <item x="5"/>
        <item x="3"/>
        <item x="1"/>
        <item x="2"/>
        <item x="8"/>
        <item t="default"/>
      </items>
    </pivotField>
    <pivotField showAll="0"/>
    <pivotField showAll="0" measureFilter="1" sortType="descending">
      <items count="74">
        <item x="10"/>
        <item x="28"/>
        <item x="67"/>
        <item x="63"/>
        <item x="34"/>
        <item x="57"/>
        <item x="6"/>
        <item x="7"/>
        <item x="8"/>
        <item x="24"/>
        <item x="41"/>
        <item x="68"/>
        <item x="65"/>
        <item x="0"/>
        <item x="44"/>
        <item x="11"/>
        <item x="18"/>
        <item x="71"/>
        <item x="2"/>
        <item x="72"/>
        <item x="31"/>
        <item x="9"/>
        <item x="49"/>
        <item x="60"/>
        <item x="19"/>
        <item x="30"/>
        <item x="4"/>
        <item x="16"/>
        <item x="59"/>
        <item x="25"/>
        <item x="43"/>
        <item x="39"/>
        <item x="20"/>
        <item x="27"/>
        <item x="51"/>
        <item x="69"/>
        <item x="32"/>
        <item x="50"/>
        <item x="33"/>
        <item x="66"/>
        <item x="14"/>
        <item x="46"/>
        <item x="64"/>
        <item x="15"/>
        <item x="52"/>
        <item x="13"/>
        <item x="3"/>
        <item x="17"/>
        <item x="56"/>
        <item x="22"/>
        <item x="53"/>
        <item x="5"/>
        <item x="45"/>
        <item x="1"/>
        <item x="37"/>
        <item x="12"/>
        <item x="62"/>
        <item x="23"/>
        <item x="38"/>
        <item x="47"/>
        <item x="26"/>
        <item x="54"/>
        <item x="29"/>
        <item x="55"/>
        <item x="70"/>
        <item x="35"/>
        <item x="48"/>
        <item x="36"/>
        <item x="58"/>
        <item x="40"/>
        <item x="42"/>
        <item x="61"/>
        <item x="21"/>
        <item t="default"/>
      </items>
      <autoSortScope>
        <pivotArea dataOnly="0" outline="0" fieldPosition="0">
          <references count="1">
            <reference field="4294967294" count="1" selected="0">
              <x v="0"/>
            </reference>
          </references>
        </pivotArea>
      </autoSortScope>
    </pivotField>
    <pivotField axis="axisRow" showAll="0" measureFilter="1" sortType="descending">
      <items count="28">
        <item x="12"/>
        <item x="1"/>
        <item x="17"/>
        <item x="22"/>
        <item x="0"/>
        <item x="21"/>
        <item x="7"/>
        <item x="13"/>
        <item x="14"/>
        <item x="16"/>
        <item x="8"/>
        <item x="25"/>
        <item x="15"/>
        <item x="6"/>
        <item x="18"/>
        <item x="23"/>
        <item x="3"/>
        <item x="24"/>
        <item x="11"/>
        <item x="19"/>
        <item x="20"/>
        <item x="10"/>
        <item x="2"/>
        <item x="9"/>
        <item x="5"/>
        <item x="26"/>
        <item x="4"/>
        <item t="default"/>
      </items>
      <autoSortScope>
        <pivotArea dataOnly="0" outline="0" fieldPosition="0">
          <references count="1">
            <reference field="4294967294" count="1" selected="0">
              <x v="0"/>
            </reference>
          </references>
        </pivotArea>
      </autoSortScope>
    </pivotField>
    <pivotField showAll="0"/>
    <pivotField numFmtId="1" showAll="0"/>
    <pivotField dataField="1" showAll="0"/>
    <pivotField showAll="0"/>
    <pivotField showAll="0">
      <items count="3">
        <item x="1"/>
        <item x="0"/>
        <item t="default"/>
      </items>
    </pivotField>
    <pivotField showAll="0">
      <items count="3">
        <item x="0"/>
        <item x="1"/>
        <item t="default"/>
      </items>
    </pivotField>
    <pivotField showAll="0"/>
    <pivotField showAll="0" defaultSubtotal="0">
      <items count="4">
        <item x="0"/>
        <item x="1"/>
        <item x="2"/>
        <item x="3"/>
      </items>
    </pivotField>
  </pivotFields>
  <rowFields count="1">
    <field x="7"/>
  </rowFields>
  <rowItems count="6">
    <i>
      <x v="16"/>
    </i>
    <i>
      <x v="26"/>
    </i>
    <i>
      <x v="21"/>
    </i>
    <i>
      <x v="13"/>
    </i>
    <i>
      <x v="24"/>
    </i>
    <i t="grand">
      <x/>
    </i>
  </rowItems>
  <colItems count="1">
    <i/>
  </colItems>
  <dataFields count="1">
    <dataField name="Sum of ITEM_TOTAL" fld="10" baseField="6" baseItem="0" numFmtId="165"/>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2" iMeasureFld="0">
      <autoFilter ref="A1">
        <filterColumn colId="0">
          <top10 val="5" filterVal="5"/>
        </filterColumn>
      </autoFilter>
    </filter>
    <filter fld="7"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5">
  <location ref="G8:H18" firstHeaderRow="1" firstDataRow="1" firstDataCol="1"/>
  <pivotFields count="16">
    <pivotField showAll="0"/>
    <pivotField numFmtId="14" showAll="0"/>
    <pivotField showAll="0"/>
    <pivotField showAll="0"/>
    <pivotField axis="axisRow" showAll="0">
      <items count="10">
        <item x="7"/>
        <item x="6"/>
        <item x="4"/>
        <item x="0"/>
        <item x="5"/>
        <item x="3"/>
        <item x="1"/>
        <item x="2"/>
        <item x="8"/>
        <item t="default"/>
      </items>
    </pivotField>
    <pivotField showAll="0"/>
    <pivotField showAll="0"/>
    <pivotField showAll="0">
      <items count="28">
        <item x="12"/>
        <item x="1"/>
        <item x="17"/>
        <item x="22"/>
        <item x="0"/>
        <item x="21"/>
        <item x="7"/>
        <item x="13"/>
        <item x="14"/>
        <item x="16"/>
        <item x="8"/>
        <item x="25"/>
        <item x="15"/>
        <item x="6"/>
        <item x="18"/>
        <item x="23"/>
        <item x="3"/>
        <item x="24"/>
        <item x="11"/>
        <item x="19"/>
        <item x="20"/>
        <item x="10"/>
        <item x="2"/>
        <item x="9"/>
        <item x="5"/>
        <item x="26"/>
        <item x="4"/>
        <item t="default"/>
      </items>
    </pivotField>
    <pivotField showAll="0"/>
    <pivotField dataField="1" numFmtId="1" showAll="0"/>
    <pivotField showAll="0"/>
    <pivotField showAll="0"/>
    <pivotField showAll="0">
      <items count="3">
        <item x="1"/>
        <item x="0"/>
        <item t="default"/>
      </items>
    </pivotField>
    <pivotField showAll="0">
      <items count="3">
        <item x="0"/>
        <item x="1"/>
        <item t="default"/>
      </items>
    </pivotField>
    <pivotField showAll="0"/>
    <pivotField showAll="0" defaultSubtotal="0">
      <items count="4">
        <item x="0"/>
        <item x="1"/>
        <item x="2"/>
        <item x="3"/>
      </items>
    </pivotField>
  </pivotFields>
  <rowFields count="1">
    <field x="4"/>
  </rowFields>
  <rowItems count="10">
    <i>
      <x/>
    </i>
    <i>
      <x v="1"/>
    </i>
    <i>
      <x v="2"/>
    </i>
    <i>
      <x v="3"/>
    </i>
    <i>
      <x v="4"/>
    </i>
    <i>
      <x v="5"/>
    </i>
    <i>
      <x v="6"/>
    </i>
    <i>
      <x v="7"/>
    </i>
    <i>
      <x v="8"/>
    </i>
    <i t="grand">
      <x/>
    </i>
  </rowItems>
  <colItems count="1">
    <i/>
  </colItems>
  <dataFields count="1">
    <dataField name="Count of QUANTITY" fld="9" subtotal="count" baseField="4" baseItem="0"/>
  </dataFields>
  <chartFormats count="4">
    <chartFormat chart="1" format="1"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4" count="1" selected="0">
            <x v="8"/>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2:A13" firstHeaderRow="1" firstDataRow="1" firstDataCol="0"/>
  <pivotFields count="16">
    <pivotField showAll="0"/>
    <pivotField numFmtId="14" showAll="0"/>
    <pivotField showAll="0"/>
    <pivotField showAll="0"/>
    <pivotField showAll="0">
      <items count="10">
        <item x="7"/>
        <item x="6"/>
        <item x="4"/>
        <item x="0"/>
        <item x="5"/>
        <item x="3"/>
        <item x="1"/>
        <item x="2"/>
        <item x="8"/>
        <item t="default"/>
      </items>
    </pivotField>
    <pivotField showAll="0"/>
    <pivotField showAll="0"/>
    <pivotField showAll="0">
      <items count="28">
        <item x="12"/>
        <item x="1"/>
        <item x="17"/>
        <item x="22"/>
        <item x="0"/>
        <item x="21"/>
        <item x="7"/>
        <item x="13"/>
        <item x="14"/>
        <item x="16"/>
        <item x="8"/>
        <item x="25"/>
        <item x="15"/>
        <item x="6"/>
        <item x="18"/>
        <item x="23"/>
        <item x="3"/>
        <item x="24"/>
        <item x="11"/>
        <item x="19"/>
        <item x="20"/>
        <item x="10"/>
        <item x="2"/>
        <item x="9"/>
        <item x="5"/>
        <item x="26"/>
        <item x="4"/>
        <item t="default"/>
      </items>
    </pivotField>
    <pivotField showAll="0"/>
    <pivotField dataField="1" numFmtId="1" showAll="0"/>
    <pivotField showAll="0"/>
    <pivotField showAll="0"/>
    <pivotField showAll="0">
      <items count="3">
        <item x="1"/>
        <item x="0"/>
        <item t="default"/>
      </items>
    </pivotField>
    <pivotField showAll="0">
      <items count="3">
        <item x="0"/>
        <item x="1"/>
        <item t="default"/>
      </items>
    </pivotField>
    <pivotField showAll="0"/>
    <pivotField showAll="0" defaultSubtotal="0">
      <items count="4">
        <item x="0"/>
        <item x="1"/>
        <item x="2"/>
        <item x="3"/>
      </items>
    </pivotField>
  </pivotFields>
  <rowItems count="1">
    <i/>
  </rowItems>
  <colItems count="1">
    <i/>
  </colItems>
  <dataFields count="1">
    <dataField name="Total Quantity" fld="9" baseField="0" baseItem="1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ORDER_STATUS">
  <location ref="J14:K17" firstHeaderRow="1" firstDataRow="1" firstDataCol="1"/>
  <pivotFields count="16">
    <pivotField dataField="1" showAll="0"/>
    <pivotField numFmtId="14" showAll="0"/>
    <pivotField showAll="0"/>
    <pivotField showAll="0"/>
    <pivotField showAll="0">
      <items count="10">
        <item x="7"/>
        <item x="6"/>
        <item x="4"/>
        <item x="0"/>
        <item x="5"/>
        <item x="3"/>
        <item x="1"/>
        <item x="2"/>
        <item x="8"/>
        <item t="default"/>
      </items>
    </pivotField>
    <pivotField showAll="0"/>
    <pivotField showAll="0"/>
    <pivotField showAll="0">
      <items count="28">
        <item x="12"/>
        <item x="1"/>
        <item x="17"/>
        <item x="22"/>
        <item x="0"/>
        <item x="21"/>
        <item x="7"/>
        <item x="13"/>
        <item x="14"/>
        <item x="16"/>
        <item x="8"/>
        <item x="25"/>
        <item x="15"/>
        <item x="6"/>
        <item x="18"/>
        <item x="23"/>
        <item x="3"/>
        <item x="24"/>
        <item x="11"/>
        <item x="19"/>
        <item x="20"/>
        <item x="10"/>
        <item x="2"/>
        <item x="9"/>
        <item x="5"/>
        <item x="26"/>
        <item x="4"/>
        <item t="default"/>
      </items>
    </pivotField>
    <pivotField showAll="0"/>
    <pivotField numFmtId="1" showAll="0"/>
    <pivotField showAll="0"/>
    <pivotField showAll="0"/>
    <pivotField showAll="0">
      <items count="3">
        <item x="1"/>
        <item x="0"/>
        <item t="default"/>
      </items>
    </pivotField>
    <pivotField axis="axisRow" showAll="0">
      <items count="3">
        <item x="0"/>
        <item x="1"/>
        <item t="default"/>
      </items>
    </pivotField>
    <pivotField showAll="0"/>
    <pivotField showAll="0" defaultSubtotal="0">
      <items count="4">
        <item x="0"/>
        <item x="1"/>
        <item x="2"/>
        <item x="3"/>
      </items>
    </pivotField>
  </pivotFields>
  <rowFields count="1">
    <field x="13"/>
  </rowFields>
  <rowItems count="3">
    <i>
      <x/>
    </i>
    <i>
      <x v="1"/>
    </i>
    <i t="grand">
      <x/>
    </i>
  </rowItems>
  <colItems count="1">
    <i/>
  </colItems>
  <dataFields count="1">
    <dataField name="Total orders" fld="0" subtotal="count" baseField="0" baseItem="7"/>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YEARS">
  <location ref="J2:K5" firstHeaderRow="1" firstDataRow="1" firstDataCol="1"/>
  <pivotFields count="16">
    <pivotField showAll="0"/>
    <pivotField numFmtId="14" showAll="0"/>
    <pivotField showAll="0"/>
    <pivotField showAll="0"/>
    <pivotField showAll="0">
      <items count="10">
        <item x="7"/>
        <item x="6"/>
        <item x="4"/>
        <item x="0"/>
        <item x="5"/>
        <item x="3"/>
        <item x="1"/>
        <item x="2"/>
        <item x="8"/>
        <item t="default"/>
      </items>
    </pivotField>
    <pivotField showAll="0"/>
    <pivotField showAll="0"/>
    <pivotField showAll="0">
      <items count="28">
        <item x="12"/>
        <item x="1"/>
        <item x="17"/>
        <item x="22"/>
        <item x="0"/>
        <item x="21"/>
        <item x="7"/>
        <item x="13"/>
        <item x="14"/>
        <item x="16"/>
        <item x="8"/>
        <item x="25"/>
        <item x="15"/>
        <item x="6"/>
        <item x="18"/>
        <item x="23"/>
        <item x="3"/>
        <item x="24"/>
        <item x="11"/>
        <item x="19"/>
        <item x="20"/>
        <item x="10"/>
        <item x="2"/>
        <item x="9"/>
        <item x="5"/>
        <item x="26"/>
        <item x="4"/>
        <item t="default"/>
      </items>
    </pivotField>
    <pivotField showAll="0"/>
    <pivotField numFmtId="1" showAll="0"/>
    <pivotField dataField="1" showAll="0"/>
    <pivotField showAll="0"/>
    <pivotField showAll="0">
      <items count="3">
        <item x="1"/>
        <item x="0"/>
        <item t="default"/>
      </items>
    </pivotField>
    <pivotField showAll="0">
      <items count="3">
        <item x="0"/>
        <item x="1"/>
        <item t="default"/>
      </items>
    </pivotField>
    <pivotField showAll="0"/>
    <pivotField axis="axisRow" showAll="0" defaultSubtotal="0">
      <items count="4">
        <item x="0"/>
        <item x="1"/>
        <item x="2"/>
        <item x="3"/>
      </items>
    </pivotField>
  </pivotFields>
  <rowFields count="1">
    <field x="15"/>
  </rowFields>
  <rowItems count="3">
    <i>
      <x v="1"/>
    </i>
    <i>
      <x v="2"/>
    </i>
    <i t="grand">
      <x/>
    </i>
  </rowItems>
  <colItems count="1">
    <i/>
  </colItems>
  <dataFields count="1">
    <dataField name="Total sales" fld="10" baseField="0" baseItem="2" numFmtId="165"/>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PAYMENT">
  <location ref="J8:K11" firstHeaderRow="1" firstDataRow="1" firstDataCol="1"/>
  <pivotFields count="16">
    <pivotField showAll="0"/>
    <pivotField numFmtId="14" showAll="0"/>
    <pivotField showAll="0"/>
    <pivotField showAll="0"/>
    <pivotField showAll="0">
      <items count="10">
        <item x="7"/>
        <item x="6"/>
        <item x="4"/>
        <item x="0"/>
        <item x="5"/>
        <item x="3"/>
        <item x="1"/>
        <item x="2"/>
        <item x="8"/>
        <item t="default"/>
      </items>
    </pivotField>
    <pivotField showAll="0"/>
    <pivotField showAll="0"/>
    <pivotField showAll="0">
      <items count="28">
        <item x="12"/>
        <item x="1"/>
        <item x="17"/>
        <item x="22"/>
        <item x="0"/>
        <item x="21"/>
        <item x="7"/>
        <item x="13"/>
        <item x="14"/>
        <item x="16"/>
        <item x="8"/>
        <item x="25"/>
        <item x="15"/>
        <item x="6"/>
        <item x="18"/>
        <item x="23"/>
        <item x="3"/>
        <item x="24"/>
        <item x="11"/>
        <item x="19"/>
        <item x="20"/>
        <item x="10"/>
        <item x="2"/>
        <item x="9"/>
        <item x="5"/>
        <item x="26"/>
        <item x="4"/>
        <item t="default"/>
      </items>
    </pivotField>
    <pivotField showAll="0"/>
    <pivotField numFmtId="1" showAll="0"/>
    <pivotField dataField="1" showAll="0"/>
    <pivotField showAll="0"/>
    <pivotField axis="axisRow" showAll="0">
      <items count="3">
        <item x="1"/>
        <item x="0"/>
        <item t="default"/>
      </items>
    </pivotField>
    <pivotField showAll="0">
      <items count="3">
        <item x="0"/>
        <item x="1"/>
        <item t="default"/>
      </items>
    </pivotField>
    <pivotField showAll="0"/>
    <pivotField showAll="0" defaultSubtotal="0">
      <items count="4">
        <item x="0"/>
        <item x="1"/>
        <item x="2"/>
        <item x="3"/>
      </items>
    </pivotField>
  </pivotFields>
  <rowFields count="1">
    <field x="12"/>
  </rowFields>
  <rowItems count="3">
    <i>
      <x/>
    </i>
    <i>
      <x v="1"/>
    </i>
    <i t="grand">
      <x/>
    </i>
  </rowItems>
  <colItems count="1">
    <i/>
  </colItems>
  <dataFields count="1">
    <dataField name="Total sales" fld="10" baseField="0" baseItem="2"/>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3" rowHeaderCaption="Top Cities">
  <location ref="A19:B25" firstHeaderRow="1" firstDataRow="1" firstDataCol="1"/>
  <pivotFields count="16">
    <pivotField showAll="0"/>
    <pivotField numFmtId="14" showAll="0"/>
    <pivotField showAll="0"/>
    <pivotField showAll="0"/>
    <pivotField showAll="0">
      <items count="10">
        <item x="7"/>
        <item x="6"/>
        <item x="4"/>
        <item x="0"/>
        <item x="5"/>
        <item x="3"/>
        <item x="1"/>
        <item x="2"/>
        <item x="8"/>
        <item t="default"/>
      </items>
    </pivotField>
    <pivotField showAll="0"/>
    <pivotField axis="axisRow" showAll="0" measureFilter="1" sortType="descending">
      <items count="74">
        <item x="10"/>
        <item x="28"/>
        <item x="67"/>
        <item x="63"/>
        <item x="34"/>
        <item x="57"/>
        <item x="6"/>
        <item x="7"/>
        <item x="8"/>
        <item x="24"/>
        <item x="41"/>
        <item x="68"/>
        <item x="65"/>
        <item x="0"/>
        <item x="44"/>
        <item x="11"/>
        <item x="18"/>
        <item x="71"/>
        <item x="2"/>
        <item x="72"/>
        <item x="31"/>
        <item x="9"/>
        <item x="49"/>
        <item x="60"/>
        <item x="19"/>
        <item x="30"/>
        <item x="4"/>
        <item x="16"/>
        <item x="59"/>
        <item x="25"/>
        <item x="43"/>
        <item x="39"/>
        <item x="20"/>
        <item x="27"/>
        <item x="51"/>
        <item x="69"/>
        <item x="32"/>
        <item x="50"/>
        <item x="33"/>
        <item x="66"/>
        <item x="14"/>
        <item x="46"/>
        <item x="64"/>
        <item x="15"/>
        <item x="52"/>
        <item x="13"/>
        <item x="3"/>
        <item x="17"/>
        <item x="56"/>
        <item x="22"/>
        <item x="53"/>
        <item x="5"/>
        <item x="45"/>
        <item x="1"/>
        <item x="37"/>
        <item x="12"/>
        <item x="62"/>
        <item x="23"/>
        <item x="38"/>
        <item x="47"/>
        <item x="26"/>
        <item x="54"/>
        <item x="29"/>
        <item x="55"/>
        <item x="70"/>
        <item x="35"/>
        <item x="48"/>
        <item x="36"/>
        <item x="58"/>
        <item x="40"/>
        <item x="42"/>
        <item x="61"/>
        <item x="21"/>
        <item t="default"/>
      </items>
      <autoSortScope>
        <pivotArea dataOnly="0" outline="0" fieldPosition="0">
          <references count="1">
            <reference field="4294967294" count="1" selected="0">
              <x v="0"/>
            </reference>
          </references>
        </pivotArea>
      </autoSortScope>
    </pivotField>
    <pivotField showAll="0">
      <items count="28">
        <item x="12"/>
        <item x="1"/>
        <item x="17"/>
        <item x="22"/>
        <item x="0"/>
        <item x="21"/>
        <item x="7"/>
        <item x="13"/>
        <item x="14"/>
        <item x="16"/>
        <item x="8"/>
        <item x="25"/>
        <item x="15"/>
        <item x="6"/>
        <item x="18"/>
        <item x="23"/>
        <item x="3"/>
        <item x="24"/>
        <item x="11"/>
        <item x="19"/>
        <item x="20"/>
        <item x="10"/>
        <item x="2"/>
        <item x="9"/>
        <item x="5"/>
        <item x="26"/>
        <item x="4"/>
        <item t="default"/>
      </items>
    </pivotField>
    <pivotField showAll="0"/>
    <pivotField numFmtId="1" showAll="0"/>
    <pivotField dataField="1" showAll="0"/>
    <pivotField showAll="0"/>
    <pivotField showAll="0">
      <items count="3">
        <item x="1"/>
        <item x="0"/>
        <item t="default"/>
      </items>
    </pivotField>
    <pivotField showAll="0">
      <items count="3">
        <item x="0"/>
        <item x="1"/>
        <item t="default"/>
      </items>
    </pivotField>
    <pivotField showAll="0"/>
    <pivotField showAll="0" defaultSubtotal="0">
      <items count="4">
        <item x="0"/>
        <item x="1"/>
        <item x="2"/>
        <item x="3"/>
      </items>
    </pivotField>
  </pivotFields>
  <rowFields count="1">
    <field x="6"/>
  </rowFields>
  <rowItems count="6">
    <i>
      <x v="40"/>
    </i>
    <i>
      <x v="46"/>
    </i>
    <i>
      <x v="14"/>
    </i>
    <i>
      <x v="7"/>
    </i>
    <i>
      <x v="55"/>
    </i>
    <i t="grand">
      <x/>
    </i>
  </rowItems>
  <colItems count="1">
    <i/>
  </colItems>
  <dataFields count="1">
    <dataField name="Sum of ITEM_TOTAL" fld="10" baseField="6" baseItem="0" numFmtId="165"/>
  </dataField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itemPrintTitles="1" createdVersion="4" indent="0" outline="1" outlineData="1" multipleFieldFilters="0" chartFormat="8" rowHeaderCaption="Top  states">
  <location ref="G20:H30" firstHeaderRow="1" firstDataRow="1" firstDataCol="1"/>
  <pivotFields count="16">
    <pivotField showAll="0"/>
    <pivotField numFmtId="14" showAll="0"/>
    <pivotField showAll="0"/>
    <pivotField showAll="0"/>
    <pivotField showAll="0">
      <items count="10">
        <item x="7"/>
        <item x="6"/>
        <item x="4"/>
        <item x="0"/>
        <item x="5"/>
        <item x="3"/>
        <item x="1"/>
        <item x="2"/>
        <item x="8"/>
        <item t="default"/>
      </items>
    </pivotField>
    <pivotField showAll="0"/>
    <pivotField showAll="0" measureFilter="1" sortType="descending">
      <items count="74">
        <item x="10"/>
        <item x="28"/>
        <item x="67"/>
        <item x="63"/>
        <item x="34"/>
        <item x="57"/>
        <item x="6"/>
        <item x="7"/>
        <item x="8"/>
        <item x="24"/>
        <item x="41"/>
        <item x="68"/>
        <item x="65"/>
        <item x="0"/>
        <item x="44"/>
        <item x="11"/>
        <item x="18"/>
        <item x="71"/>
        <item x="2"/>
        <item x="72"/>
        <item x="31"/>
        <item x="9"/>
        <item x="49"/>
        <item x="60"/>
        <item x="19"/>
        <item x="30"/>
        <item x="4"/>
        <item x="16"/>
        <item x="59"/>
        <item x="25"/>
        <item x="43"/>
        <item x="39"/>
        <item x="20"/>
        <item x="27"/>
        <item x="51"/>
        <item x="69"/>
        <item x="32"/>
        <item x="50"/>
        <item x="33"/>
        <item x="66"/>
        <item x="14"/>
        <item x="46"/>
        <item x="64"/>
        <item x="15"/>
        <item x="52"/>
        <item x="13"/>
        <item x="3"/>
        <item x="17"/>
        <item x="56"/>
        <item x="22"/>
        <item x="53"/>
        <item x="5"/>
        <item x="45"/>
        <item x="1"/>
        <item x="37"/>
        <item x="12"/>
        <item x="62"/>
        <item x="23"/>
        <item x="38"/>
        <item x="47"/>
        <item x="26"/>
        <item x="54"/>
        <item x="29"/>
        <item x="55"/>
        <item x="70"/>
        <item x="35"/>
        <item x="48"/>
        <item x="36"/>
        <item x="58"/>
        <item x="40"/>
        <item x="42"/>
        <item x="61"/>
        <item x="21"/>
        <item t="default"/>
      </items>
      <autoSortScope>
        <pivotArea dataOnly="0" outline="0" fieldPosition="0">
          <references count="1">
            <reference field="4294967294" count="1" selected="0">
              <x v="0"/>
            </reference>
          </references>
        </pivotArea>
      </autoSortScope>
    </pivotField>
    <pivotField showAll="0" sortType="descending">
      <items count="28">
        <item x="12"/>
        <item x="1"/>
        <item x="17"/>
        <item x="22"/>
        <item x="0"/>
        <item x="21"/>
        <item x="7"/>
        <item x="13"/>
        <item x="14"/>
        <item x="16"/>
        <item x="8"/>
        <item x="25"/>
        <item x="15"/>
        <item x="6"/>
        <item x="18"/>
        <item x="23"/>
        <item x="3"/>
        <item x="24"/>
        <item x="11"/>
        <item x="19"/>
        <item x="20"/>
        <item x="10"/>
        <item x="2"/>
        <item x="9"/>
        <item x="5"/>
        <item x="26"/>
        <item x="4"/>
        <item t="default"/>
      </items>
      <autoSortScope>
        <pivotArea dataOnly="0" outline="0" fieldPosition="0">
          <references count="1">
            <reference field="4294967294" count="1" selected="0">
              <x v="0"/>
            </reference>
          </references>
        </pivotArea>
      </autoSortScope>
    </pivotField>
    <pivotField showAll="0"/>
    <pivotField numFmtId="1" showAll="0"/>
    <pivotField dataField="1" showAll="0"/>
    <pivotField showAll="0"/>
    <pivotField showAll="0">
      <items count="3">
        <item x="1"/>
        <item x="0"/>
        <item t="default"/>
      </items>
    </pivotField>
    <pivotField showAll="0">
      <items count="3">
        <item x="0"/>
        <item x="1"/>
        <item t="default"/>
      </items>
    </pivotField>
    <pivotField axis="axisRow" showAll="0" sortType="descending">
      <items count="10">
        <item x="4"/>
        <item x="8"/>
        <item x="2"/>
        <item x="1"/>
        <item x="0"/>
        <item x="7"/>
        <item x="6"/>
        <item x="3"/>
        <item x="5"/>
        <item t="default"/>
      </items>
      <autoSortScope>
        <pivotArea dataOnly="0" outline="0" fieldPosition="0">
          <references count="1">
            <reference field="4294967294" count="1" selected="0">
              <x v="0"/>
            </reference>
          </references>
        </pivotArea>
      </autoSortScope>
    </pivotField>
    <pivotField showAll="0" defaultSubtotal="0">
      <items count="4">
        <item x="0"/>
        <item x="1"/>
        <item x="2"/>
        <item x="3"/>
      </items>
    </pivotField>
  </pivotFields>
  <rowFields count="1">
    <field x="14"/>
  </rowFields>
  <rowItems count="10">
    <i>
      <x v="4"/>
    </i>
    <i>
      <x v="3"/>
    </i>
    <i>
      <x v="6"/>
    </i>
    <i>
      <x v="2"/>
    </i>
    <i>
      <x/>
    </i>
    <i>
      <x v="7"/>
    </i>
    <i>
      <x v="5"/>
    </i>
    <i>
      <x v="8"/>
    </i>
    <i>
      <x v="1"/>
    </i>
    <i t="grand">
      <x/>
    </i>
  </rowItems>
  <colItems count="1">
    <i/>
  </colItems>
  <dataFields count="1">
    <dataField name="Sum of ITEM_TOTAL" fld="10" baseField="6" baseItem="0" numFmtId="165"/>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_STATE" sourceName="SHIP_STATE">
  <pivotTables>
    <pivotTable tabId="7" name="PivotTable7"/>
    <pivotTable tabId="7" name="PivotTable10"/>
    <pivotTable tabId="7" name="PivotTable11"/>
    <pivotTable tabId="7" name="PivotTable3"/>
    <pivotTable tabId="7" name="PivotTable4"/>
    <pivotTable tabId="7" name="PivotTable5"/>
    <pivotTable tabId="7" name="PivotTable6"/>
    <pivotTable tabId="7" name="PivotTable8"/>
    <pivotTable tabId="7" name="PivotTable9"/>
    <pivotTable tabId="7" name="PivotTable12"/>
  </pivotTables>
  <data>
    <tabular pivotCacheId="1">
      <items count="27">
        <i x="12" s="1"/>
        <i x="1" s="1"/>
        <i x="17" s="1"/>
        <i x="22" s="1"/>
        <i x="0" s="1"/>
        <i x="21" s="1"/>
        <i x="7" s="1"/>
        <i x="13" s="1"/>
        <i x="14" s="1"/>
        <i x="16" s="1"/>
        <i x="8" s="1"/>
        <i x="25" s="1"/>
        <i x="15" s="1"/>
        <i x="6" s="1"/>
        <i x="18" s="1"/>
        <i x="23" s="1"/>
        <i x="3" s="1"/>
        <i x="24" s="1"/>
        <i x="11" s="1"/>
        <i x="19" s="1"/>
        <i x="20" s="1"/>
        <i x="10" s="1"/>
        <i x="2" s="1"/>
        <i x="9" s="1"/>
        <i x="5" s="1"/>
        <i x="2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MONTH1" sourceName="ORDER_MONTH">
  <pivotTables>
    <pivotTable tabId="7" name="PivotTable8"/>
    <pivotTable tabId="7" name="PivotTable10"/>
    <pivotTable tabId="7" name="PivotTable11"/>
    <pivotTable tabId="7" name="PivotTable3"/>
    <pivotTable tabId="7" name="PivotTable4"/>
    <pivotTable tabId="7" name="PivotTable5"/>
    <pivotTable tabId="7" name="PivotTable6"/>
    <pivotTable tabId="7" name="PivotTable7"/>
    <pivotTable tabId="7" name="PivotTable9"/>
    <pivotTable tabId="7" name="PivotTable12"/>
  </pivotTables>
  <data>
    <tabular pivotCacheId="1" crossFilter="none">
      <items count="9">
        <i x="7" s="1"/>
        <i x="6" s="1"/>
        <i x="4" s="1"/>
        <i x="0" s="1"/>
        <i x="5" s="1"/>
        <i x="3" s="1"/>
        <i x="1" s="1"/>
        <i x="2"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s1" sourceName="Years">
  <pivotTables>
    <pivotTable tabId="7" name="PivotTable9"/>
    <pivotTable tabId="7" name="PivotTable10"/>
    <pivotTable tabId="7" name="PivotTable11"/>
    <pivotTable tabId="7" name="PivotTable3"/>
    <pivotTable tabId="7" name="PivotTable4"/>
    <pivotTable tabId="7" name="PivotTable5"/>
    <pivotTable tabId="7" name="PivotTable6"/>
    <pivotTable tabId="7" name="PivotTable7"/>
    <pivotTable tabId="7" name="PivotTable8"/>
    <pivotTable tabId="7" name="PivotTable12"/>
  </pivotTables>
  <data>
    <tabular pivotCacheId="1">
      <items count="4">
        <i x="1" s="1"/>
        <i x="2" s="1"/>
        <i x="0"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 sourceName="PAYMENT">
  <pivotTables>
    <pivotTable tabId="7" name="PivotTable10"/>
    <pivotTable tabId="7" name="PivotTable11"/>
    <pivotTable tabId="7" name="PivotTable3"/>
    <pivotTable tabId="7" name="PivotTable4"/>
    <pivotTable tabId="7" name="PivotTable5"/>
    <pivotTable tabId="7" name="PivotTable6"/>
    <pivotTable tabId="7" name="PivotTable7"/>
    <pivotTable tabId="7" name="PivotTable8"/>
    <pivotTable tabId="7" name="PivotTable9"/>
    <pivotTable tabId="7" name="PivotTable12"/>
  </pivotTables>
  <data>
    <tabular pivotCacheId="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ORDER_STATUS" sourceName="ORDER_STATUS">
  <pivotTables>
    <pivotTable tabId="7" name="PivotTable11"/>
    <pivotTable tabId="7" name="PivotTable10"/>
    <pivotTable tabId="7" name="PivotTable3"/>
    <pivotTable tabId="7" name="PivotTable4"/>
    <pivotTable tabId="7" name="PivotTable5"/>
    <pivotTable tabId="7" name="PivotTable6"/>
    <pivotTable tabId="7" name="PivotTable7"/>
    <pivotTable tabId="7" name="PivotTable8"/>
    <pivotTable tabId="7" name="PivotTable9"/>
    <pivotTable tabId="7" name="PivotTable12"/>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_STATE" cache="Slicer_SHIP_STATE" caption="SHIP_STATE" rowHeight="234950"/>
  <slicer name="ORDER_MONTH" cache="Slicer_ORDER_MONTH1" caption="ORDER_MONTH" rowHeight="234950"/>
  <slicer name="Order Years" cache="Slicer_Years1" caption="ORDER_YEAR" columnCount="2" rowHeight="234950"/>
  <slicer name="PAYMENT" cache="Slicer_PAYMENT" caption="PAYMENT" columnCount="2" rowHeight="234950"/>
  <slicer name="ORDER_STATUS" cache="Slicer_ORDER_STATUS" caption="ORDER_STATUS" columnCount="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HIP_STATE 1" cache="Slicer_SHIP_STATE" caption="SHIP_STATE" style="SlicerStyleDark5" rowHeight="234950"/>
  <slicer name="ORDER_MONTH 1" cache="Slicer_ORDER_MONTH1" caption="ORDER_MONTH" style="SlicerStyleDark5" rowHeight="234950"/>
  <slicer name="Order Years 1" cache="Slicer_Years1" caption="ORDER_YEAR" columnCount="2" style="SlicerStyleDark5" rowHeight="324000"/>
  <slicer name="PAYMENT 1" cache="Slicer_PAYMENT" caption="PAYMENT" columnCount="2" style="SlicerStyleDark5" rowHeight="324000"/>
  <slicer name="ORDER_STATUS 1" cache="Slicer_ORDER_STATUS" caption="ORDER_STATUS" columnCount="2" style="SlicerStyleDark5" rowHeight="324000"/>
</slicers>
</file>

<file path=xl/tables/table1.xml><?xml version="1.0" encoding="utf-8"?>
<table xmlns="http://schemas.openxmlformats.org/spreadsheetml/2006/main" id="1" name="Amazon_sales" displayName="Amazon_sales" ref="A1:O172" totalsRowShown="0">
  <autoFilter ref="A1:O172"/>
  <tableColumns count="15">
    <tableColumn id="1" name="ORDER_NO." dataDxfId="14" dataCellStyle="Normal 2"/>
    <tableColumn id="2" name="ORDER_DATE" dataDxfId="13"/>
    <tableColumn id="3" name="ORDER_TIME" dataDxfId="12"/>
    <tableColumn id="4" name="ORDER_DAYS" dataDxfId="11"/>
    <tableColumn id="15" name="ORDER_MONTH" dataDxfId="10"/>
    <tableColumn id="5" name="BUYER" dataDxfId="9" dataCellStyle="Normal 2"/>
    <tableColumn id="6" name="SHIP_CITY" dataDxfId="8"/>
    <tableColumn id="7" name="SHIP_STATE" dataDxfId="7"/>
    <tableColumn id="8" name="SKU" dataDxfId="6" dataCellStyle="Normal 2"/>
    <tableColumn id="9" name="QUANTITY" dataDxfId="5" dataCellStyle="Normal 2"/>
    <tableColumn id="10" name="ITEM_TOTAL" dataDxfId="4"/>
    <tableColumn id="11" name="SHIPPING" dataDxfId="3"/>
    <tableColumn id="12" name="PAYMENT" dataDxfId="2"/>
    <tableColumn id="13" name="ORDER_STATUS" dataDxfId="1"/>
    <tableColumn id="14" name="CATEGO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172"/>
  <sheetViews>
    <sheetView zoomScale="90" zoomScaleNormal="90" workbookViewId="0"/>
  </sheetViews>
  <sheetFormatPr defaultRowHeight="14.4" x14ac:dyDescent="0.3"/>
  <cols>
    <col min="1" max="1" width="23.21875" customWidth="1"/>
    <col min="2" max="2" width="31.88671875" bestFit="1" customWidth="1"/>
    <col min="3" max="3" width="18.33203125" bestFit="1" customWidth="1"/>
    <col min="4" max="4" width="19.6640625" customWidth="1"/>
    <col min="5" max="5" width="22.44140625" bestFit="1" customWidth="1"/>
    <col min="6" max="6" width="32.21875" customWidth="1"/>
    <col min="7" max="7" width="143.77734375" customWidth="1"/>
    <col min="9" max="9" width="22.44140625" customWidth="1"/>
    <col min="11" max="11" width="19" bestFit="1" customWidth="1"/>
    <col min="12" max="12" width="18.33203125" bestFit="1" customWidth="1"/>
  </cols>
  <sheetData>
    <row r="1" spans="1:12" ht="15.6" x14ac:dyDescent="0.3">
      <c r="A1" s="3" t="s">
        <v>0</v>
      </c>
      <c r="B1" s="3" t="s">
        <v>1</v>
      </c>
      <c r="C1" s="3" t="s">
        <v>2</v>
      </c>
      <c r="D1" s="3" t="s">
        <v>3</v>
      </c>
      <c r="E1" s="3" t="s">
        <v>4</v>
      </c>
      <c r="F1" s="3" t="s">
        <v>5</v>
      </c>
      <c r="G1" s="3" t="s">
        <v>6</v>
      </c>
      <c r="H1" s="3" t="s">
        <v>7</v>
      </c>
      <c r="I1" s="3" t="s">
        <v>8</v>
      </c>
      <c r="J1" s="3" t="s">
        <v>9</v>
      </c>
      <c r="K1" s="3" t="s">
        <v>11</v>
      </c>
      <c r="L1" s="3" t="s">
        <v>10</v>
      </c>
    </row>
    <row r="2" spans="1:12" ht="15.6" x14ac:dyDescent="0.3">
      <c r="A2" s="1" t="s">
        <v>12</v>
      </c>
      <c r="B2" s="1" t="s">
        <v>13</v>
      </c>
      <c r="C2" s="1" t="s">
        <v>14</v>
      </c>
      <c r="D2" s="1" t="s">
        <v>15</v>
      </c>
      <c r="E2" s="1" t="s">
        <v>16</v>
      </c>
      <c r="F2" s="1" t="s">
        <v>17</v>
      </c>
      <c r="G2" s="1" t="s">
        <v>18</v>
      </c>
      <c r="H2" s="1" t="s">
        <v>19</v>
      </c>
      <c r="I2" s="1" t="s">
        <v>20</v>
      </c>
      <c r="J2" s="1" t="s">
        <v>21</v>
      </c>
      <c r="K2" s="1" t="s">
        <v>21</v>
      </c>
      <c r="L2" s="1" t="s">
        <v>22</v>
      </c>
    </row>
    <row r="3" spans="1:12" ht="15.6" x14ac:dyDescent="0.3">
      <c r="A3" s="1" t="s">
        <v>23</v>
      </c>
      <c r="B3" s="1" t="s">
        <v>24</v>
      </c>
      <c r="C3" s="1" t="s">
        <v>25</v>
      </c>
      <c r="D3" s="1" t="s">
        <v>26</v>
      </c>
      <c r="E3" s="1" t="s">
        <v>27</v>
      </c>
      <c r="F3" s="1" t="s">
        <v>28</v>
      </c>
      <c r="G3" s="1" t="s">
        <v>29</v>
      </c>
      <c r="H3" s="1" t="s">
        <v>19</v>
      </c>
      <c r="I3" s="1" t="s">
        <v>20</v>
      </c>
      <c r="J3" s="1" t="s">
        <v>30</v>
      </c>
      <c r="K3" s="1" t="s">
        <v>21</v>
      </c>
      <c r="L3" s="1" t="s">
        <v>22</v>
      </c>
    </row>
    <row r="4" spans="1:12" ht="15.6" x14ac:dyDescent="0.3">
      <c r="A4" s="1" t="s">
        <v>31</v>
      </c>
      <c r="B4" s="1" t="s">
        <v>32</v>
      </c>
      <c r="C4" s="1" t="s">
        <v>764</v>
      </c>
      <c r="D4" s="1" t="s">
        <v>26</v>
      </c>
      <c r="E4" s="1" t="s">
        <v>27</v>
      </c>
      <c r="F4" s="1" t="s">
        <v>28</v>
      </c>
      <c r="G4" s="1" t="s">
        <v>29</v>
      </c>
      <c r="H4" s="1" t="s">
        <v>19</v>
      </c>
      <c r="I4" s="1" t="s">
        <v>20</v>
      </c>
      <c r="J4" s="1" t="s">
        <v>30</v>
      </c>
      <c r="K4" s="1" t="s">
        <v>21</v>
      </c>
      <c r="L4" s="1" t="s">
        <v>22</v>
      </c>
    </row>
    <row r="5" spans="1:12" ht="15.6" x14ac:dyDescent="0.3">
      <c r="A5" s="1" t="s">
        <v>33</v>
      </c>
      <c r="B5" s="1" t="s">
        <v>34</v>
      </c>
      <c r="C5" s="1" t="s">
        <v>35</v>
      </c>
      <c r="D5" s="1" t="s">
        <v>36</v>
      </c>
      <c r="E5" s="1" t="s">
        <v>37</v>
      </c>
      <c r="F5" s="1" t="s">
        <v>38</v>
      </c>
      <c r="G5" s="1" t="s">
        <v>39</v>
      </c>
      <c r="H5" s="1" t="s">
        <v>19</v>
      </c>
      <c r="I5" s="1" t="s">
        <v>21</v>
      </c>
      <c r="J5" s="1" t="s">
        <v>21</v>
      </c>
      <c r="K5" s="1" t="s">
        <v>40</v>
      </c>
      <c r="L5" s="1" t="s">
        <v>22</v>
      </c>
    </row>
    <row r="6" spans="1:12" ht="15.6" x14ac:dyDescent="0.3">
      <c r="A6" s="1" t="s">
        <v>41</v>
      </c>
      <c r="B6" s="1" t="s">
        <v>42</v>
      </c>
      <c r="C6" s="1" t="s">
        <v>43</v>
      </c>
      <c r="D6" s="1" t="s">
        <v>44</v>
      </c>
      <c r="E6" s="1" t="s">
        <v>45</v>
      </c>
      <c r="F6" s="1" t="s">
        <v>46</v>
      </c>
      <c r="G6" s="1" t="s">
        <v>47</v>
      </c>
      <c r="H6" s="1" t="s">
        <v>19</v>
      </c>
      <c r="I6" s="1" t="s">
        <v>48</v>
      </c>
      <c r="J6" s="1" t="s">
        <v>49</v>
      </c>
      <c r="K6" s="1" t="s">
        <v>21</v>
      </c>
      <c r="L6" s="1" t="s">
        <v>22</v>
      </c>
    </row>
    <row r="7" spans="1:12" ht="15.6" x14ac:dyDescent="0.3">
      <c r="A7" s="1" t="s">
        <v>50</v>
      </c>
      <c r="B7" s="1" t="s">
        <v>51</v>
      </c>
      <c r="C7" s="1" t="s">
        <v>52</v>
      </c>
      <c r="D7" s="1" t="s">
        <v>53</v>
      </c>
      <c r="E7" s="1" t="s">
        <v>54</v>
      </c>
      <c r="F7" s="1" t="s">
        <v>55</v>
      </c>
      <c r="G7" s="1" t="s">
        <v>56</v>
      </c>
      <c r="H7" s="1" t="s">
        <v>19</v>
      </c>
      <c r="I7" s="1" t="s">
        <v>57</v>
      </c>
      <c r="J7" s="1" t="s">
        <v>21</v>
      </c>
      <c r="K7" s="1" t="s">
        <v>21</v>
      </c>
      <c r="L7" s="1" t="s">
        <v>22</v>
      </c>
    </row>
    <row r="8" spans="1:12" ht="15.6" x14ac:dyDescent="0.3">
      <c r="A8" s="1" t="s">
        <v>58</v>
      </c>
      <c r="B8" s="1" t="s">
        <v>59</v>
      </c>
      <c r="C8" s="1" t="s">
        <v>60</v>
      </c>
      <c r="D8" s="1" t="s">
        <v>61</v>
      </c>
      <c r="E8" s="1" t="s">
        <v>62</v>
      </c>
      <c r="F8" s="1" t="s">
        <v>63</v>
      </c>
      <c r="G8" s="1" t="s">
        <v>64</v>
      </c>
      <c r="H8" s="1" t="s">
        <v>19</v>
      </c>
      <c r="I8" s="1" t="s">
        <v>21</v>
      </c>
      <c r="J8" s="1" t="s">
        <v>21</v>
      </c>
      <c r="K8" s="1" t="s">
        <v>40</v>
      </c>
      <c r="L8" s="1" t="s">
        <v>65</v>
      </c>
    </row>
    <row r="9" spans="1:12" ht="15.6" x14ac:dyDescent="0.3">
      <c r="A9" s="1" t="s">
        <v>66</v>
      </c>
      <c r="B9" s="1" t="s">
        <v>67</v>
      </c>
      <c r="C9" s="1" t="s">
        <v>68</v>
      </c>
      <c r="D9" s="1" t="s">
        <v>69</v>
      </c>
      <c r="E9" s="1" t="s">
        <v>62</v>
      </c>
      <c r="F9" s="1" t="s">
        <v>70</v>
      </c>
      <c r="G9" s="1" t="s">
        <v>71</v>
      </c>
      <c r="H9" s="1" t="s">
        <v>19</v>
      </c>
      <c r="I9" s="1" t="s">
        <v>72</v>
      </c>
      <c r="J9" s="1" t="s">
        <v>49</v>
      </c>
      <c r="K9" s="1" t="s">
        <v>40</v>
      </c>
      <c r="L9" s="1" t="s">
        <v>22</v>
      </c>
    </row>
    <row r="10" spans="1:12" ht="15.6" x14ac:dyDescent="0.3">
      <c r="A10" s="1" t="s">
        <v>73</v>
      </c>
      <c r="B10" s="1" t="s">
        <v>74</v>
      </c>
      <c r="C10" s="1" t="s">
        <v>75</v>
      </c>
      <c r="D10" s="1" t="s">
        <v>76</v>
      </c>
      <c r="E10" s="1" t="s">
        <v>77</v>
      </c>
      <c r="F10" s="1" t="s">
        <v>78</v>
      </c>
      <c r="G10" s="1" t="s">
        <v>79</v>
      </c>
      <c r="H10" s="1" t="s">
        <v>19</v>
      </c>
      <c r="I10" s="1" t="s">
        <v>72</v>
      </c>
      <c r="J10" s="1" t="s">
        <v>49</v>
      </c>
      <c r="K10" s="1" t="s">
        <v>21</v>
      </c>
      <c r="L10" s="1" t="s">
        <v>22</v>
      </c>
    </row>
    <row r="11" spans="1:12" ht="15.6" x14ac:dyDescent="0.3">
      <c r="A11" s="1" t="s">
        <v>80</v>
      </c>
      <c r="B11" s="1" t="s">
        <v>81</v>
      </c>
      <c r="C11" s="1" t="s">
        <v>82</v>
      </c>
      <c r="D11" s="1" t="s">
        <v>83</v>
      </c>
      <c r="E11" s="1" t="s">
        <v>84</v>
      </c>
      <c r="F11" s="1" t="s">
        <v>85</v>
      </c>
      <c r="G11" s="1" t="s">
        <v>86</v>
      </c>
      <c r="H11" s="1" t="s">
        <v>19</v>
      </c>
      <c r="I11" s="1" t="s">
        <v>48</v>
      </c>
      <c r="J11" s="1" t="s">
        <v>21</v>
      </c>
      <c r="K11" s="1" t="s">
        <v>21</v>
      </c>
      <c r="L11" s="1" t="s">
        <v>22</v>
      </c>
    </row>
    <row r="12" spans="1:12" ht="15.6" x14ac:dyDescent="0.3">
      <c r="A12" s="1" t="s">
        <v>87</v>
      </c>
      <c r="B12" s="1" t="s">
        <v>88</v>
      </c>
      <c r="C12" s="1" t="s">
        <v>89</v>
      </c>
      <c r="D12" s="1" t="s">
        <v>90</v>
      </c>
      <c r="E12" s="1" t="s">
        <v>91</v>
      </c>
      <c r="F12" s="1" t="s">
        <v>17</v>
      </c>
      <c r="G12" s="1" t="s">
        <v>18</v>
      </c>
      <c r="H12" s="1" t="s">
        <v>19</v>
      </c>
      <c r="I12" s="1" t="s">
        <v>20</v>
      </c>
      <c r="J12" s="1" t="s">
        <v>92</v>
      </c>
      <c r="K12" s="1" t="s">
        <v>21</v>
      </c>
      <c r="L12" s="1" t="s">
        <v>22</v>
      </c>
    </row>
    <row r="13" spans="1:12" ht="15.6" x14ac:dyDescent="0.3">
      <c r="A13" s="1" t="s">
        <v>93</v>
      </c>
      <c r="B13" s="1" t="s">
        <v>94</v>
      </c>
      <c r="C13" s="1" t="s">
        <v>95</v>
      </c>
      <c r="D13" s="1" t="s">
        <v>96</v>
      </c>
      <c r="E13" s="1" t="s">
        <v>97</v>
      </c>
      <c r="F13" s="1" t="s">
        <v>28</v>
      </c>
      <c r="G13" s="1" t="s">
        <v>29</v>
      </c>
      <c r="H13" s="1" t="s">
        <v>19</v>
      </c>
      <c r="I13" s="1" t="s">
        <v>20</v>
      </c>
      <c r="J13" s="1" t="s">
        <v>30</v>
      </c>
      <c r="K13" s="1" t="s">
        <v>21</v>
      </c>
      <c r="L13" s="1" t="s">
        <v>22</v>
      </c>
    </row>
    <row r="14" spans="1:12" ht="15.6" x14ac:dyDescent="0.3">
      <c r="A14" s="1" t="s">
        <v>98</v>
      </c>
      <c r="B14" s="1" t="s">
        <v>99</v>
      </c>
      <c r="C14" s="1" t="s">
        <v>100</v>
      </c>
      <c r="D14" s="1" t="s">
        <v>101</v>
      </c>
      <c r="E14" s="1" t="s">
        <v>102</v>
      </c>
      <c r="F14" s="1" t="s">
        <v>103</v>
      </c>
      <c r="G14" s="1" t="s">
        <v>104</v>
      </c>
      <c r="H14" s="1" t="s">
        <v>19</v>
      </c>
      <c r="I14" s="1" t="s">
        <v>20</v>
      </c>
      <c r="J14" s="1" t="s">
        <v>49</v>
      </c>
      <c r="K14" s="1" t="s">
        <v>40</v>
      </c>
      <c r="L14" s="1" t="s">
        <v>22</v>
      </c>
    </row>
    <row r="15" spans="1:12" ht="15.6" x14ac:dyDescent="0.3">
      <c r="A15" s="1" t="s">
        <v>105</v>
      </c>
      <c r="B15" s="1" t="s">
        <v>106</v>
      </c>
      <c r="C15" s="1" t="s">
        <v>107</v>
      </c>
      <c r="D15" s="1" t="s">
        <v>108</v>
      </c>
      <c r="E15" s="1" t="s">
        <v>45</v>
      </c>
      <c r="F15" s="1" t="s">
        <v>109</v>
      </c>
      <c r="G15" s="1" t="s">
        <v>110</v>
      </c>
      <c r="H15" s="1" t="s">
        <v>19</v>
      </c>
      <c r="I15" s="1" t="s">
        <v>48</v>
      </c>
      <c r="J15" s="1" t="s">
        <v>49</v>
      </c>
      <c r="K15" s="1" t="s">
        <v>21</v>
      </c>
      <c r="L15" s="1" t="s">
        <v>22</v>
      </c>
    </row>
    <row r="16" spans="1:12" ht="15.6" x14ac:dyDescent="0.3">
      <c r="A16" s="1" t="s">
        <v>111</v>
      </c>
      <c r="B16" s="1" t="s">
        <v>112</v>
      </c>
      <c r="C16" s="1" t="s">
        <v>113</v>
      </c>
      <c r="D16" s="1" t="s">
        <v>114</v>
      </c>
      <c r="E16" s="1" t="s">
        <v>45</v>
      </c>
      <c r="F16" s="1" t="s">
        <v>115</v>
      </c>
      <c r="G16" s="1" t="s">
        <v>116</v>
      </c>
      <c r="H16" s="1" t="s">
        <v>19</v>
      </c>
      <c r="I16" s="1" t="s">
        <v>21</v>
      </c>
      <c r="J16" s="1" t="s">
        <v>49</v>
      </c>
      <c r="K16" s="1" t="s">
        <v>40</v>
      </c>
      <c r="L16" s="1" t="s">
        <v>65</v>
      </c>
    </row>
    <row r="17" spans="1:12" ht="15.6" x14ac:dyDescent="0.3">
      <c r="A17" s="1" t="s">
        <v>117</v>
      </c>
      <c r="B17" s="1" t="s">
        <v>118</v>
      </c>
      <c r="C17" s="1" t="s">
        <v>119</v>
      </c>
      <c r="D17" s="1" t="s">
        <v>120</v>
      </c>
      <c r="E17" s="1" t="s">
        <v>54</v>
      </c>
      <c r="F17" s="1" t="s">
        <v>46</v>
      </c>
      <c r="G17" s="1" t="s">
        <v>47</v>
      </c>
      <c r="H17" s="1" t="s">
        <v>19</v>
      </c>
      <c r="I17" s="1" t="s">
        <v>48</v>
      </c>
      <c r="J17" s="1" t="s">
        <v>121</v>
      </c>
      <c r="K17" s="1" t="s">
        <v>21</v>
      </c>
      <c r="L17" s="1" t="s">
        <v>22</v>
      </c>
    </row>
    <row r="18" spans="1:12" ht="15.6" x14ac:dyDescent="0.3">
      <c r="A18" s="1" t="s">
        <v>122</v>
      </c>
      <c r="B18" s="1" t="s">
        <v>123</v>
      </c>
      <c r="C18" s="1" t="s">
        <v>124</v>
      </c>
      <c r="D18" s="1" t="s">
        <v>125</v>
      </c>
      <c r="E18" s="1" t="s">
        <v>77</v>
      </c>
      <c r="F18" s="1" t="s">
        <v>63</v>
      </c>
      <c r="G18" s="1" t="s">
        <v>64</v>
      </c>
      <c r="H18" s="1" t="s">
        <v>19</v>
      </c>
      <c r="I18" s="1" t="s">
        <v>126</v>
      </c>
      <c r="J18" s="1" t="s">
        <v>127</v>
      </c>
      <c r="K18" s="1" t="s">
        <v>40</v>
      </c>
      <c r="L18" s="1" t="s">
        <v>22</v>
      </c>
    </row>
    <row r="19" spans="1:12" ht="15.6" x14ac:dyDescent="0.3">
      <c r="A19" s="1" t="s">
        <v>128</v>
      </c>
      <c r="B19" s="1" t="s">
        <v>129</v>
      </c>
      <c r="C19" s="1" t="s">
        <v>130</v>
      </c>
      <c r="D19" s="1" t="s">
        <v>44</v>
      </c>
      <c r="E19" s="1" t="s">
        <v>45</v>
      </c>
      <c r="F19" s="1" t="s">
        <v>131</v>
      </c>
      <c r="G19" s="1" t="s">
        <v>132</v>
      </c>
      <c r="H19" s="1" t="s">
        <v>19</v>
      </c>
      <c r="I19" s="1" t="s">
        <v>20</v>
      </c>
      <c r="J19" s="1" t="s">
        <v>49</v>
      </c>
      <c r="K19" s="1" t="s">
        <v>21</v>
      </c>
      <c r="L19" s="1" t="s">
        <v>22</v>
      </c>
    </row>
    <row r="20" spans="1:12" ht="15.6" x14ac:dyDescent="0.3">
      <c r="A20" s="1" t="s">
        <v>133</v>
      </c>
      <c r="B20" s="1" t="s">
        <v>134</v>
      </c>
      <c r="C20" s="1" t="s">
        <v>135</v>
      </c>
      <c r="D20" s="1" t="s">
        <v>136</v>
      </c>
      <c r="E20" s="1" t="s">
        <v>37</v>
      </c>
      <c r="F20" s="1" t="s">
        <v>137</v>
      </c>
      <c r="G20" s="1" t="s">
        <v>138</v>
      </c>
      <c r="H20" s="1" t="s">
        <v>19</v>
      </c>
      <c r="I20" s="1" t="s">
        <v>72</v>
      </c>
      <c r="J20" s="1" t="s">
        <v>49</v>
      </c>
      <c r="K20" s="1" t="s">
        <v>21</v>
      </c>
      <c r="L20" s="1" t="s">
        <v>22</v>
      </c>
    </row>
    <row r="21" spans="1:12" ht="15.6" x14ac:dyDescent="0.3">
      <c r="A21" s="1" t="s">
        <v>139</v>
      </c>
      <c r="B21" s="1" t="s">
        <v>140</v>
      </c>
      <c r="C21" s="1" t="s">
        <v>141</v>
      </c>
      <c r="D21" s="1" t="s">
        <v>44</v>
      </c>
      <c r="E21" s="1" t="s">
        <v>45</v>
      </c>
      <c r="F21" s="1" t="s">
        <v>70</v>
      </c>
      <c r="G21" s="1" t="s">
        <v>71</v>
      </c>
      <c r="H21" s="1" t="s">
        <v>19</v>
      </c>
      <c r="I21" s="1" t="s">
        <v>72</v>
      </c>
      <c r="J21" s="1" t="s">
        <v>49</v>
      </c>
      <c r="K21" s="1" t="s">
        <v>40</v>
      </c>
      <c r="L21" s="1" t="s">
        <v>22</v>
      </c>
    </row>
    <row r="22" spans="1:12" ht="15.6" x14ac:dyDescent="0.3">
      <c r="A22" s="1" t="s">
        <v>142</v>
      </c>
      <c r="B22" s="1" t="s">
        <v>143</v>
      </c>
      <c r="C22" s="1" t="s">
        <v>144</v>
      </c>
      <c r="D22" s="1" t="s">
        <v>145</v>
      </c>
      <c r="E22" s="1" t="s">
        <v>45</v>
      </c>
      <c r="F22" s="1" t="s">
        <v>146</v>
      </c>
      <c r="G22" s="1" t="s">
        <v>147</v>
      </c>
      <c r="H22" s="1" t="s">
        <v>19</v>
      </c>
      <c r="I22" s="1" t="s">
        <v>72</v>
      </c>
      <c r="J22" s="1" t="s">
        <v>49</v>
      </c>
      <c r="K22" s="1"/>
      <c r="L22" s="1" t="s">
        <v>22</v>
      </c>
    </row>
    <row r="23" spans="1:12" ht="15.6" x14ac:dyDescent="0.3">
      <c r="A23" s="1" t="s">
        <v>148</v>
      </c>
      <c r="B23" s="1" t="s">
        <v>149</v>
      </c>
      <c r="C23" s="1" t="s">
        <v>150</v>
      </c>
      <c r="D23" s="1" t="s">
        <v>151</v>
      </c>
      <c r="E23" s="1" t="s">
        <v>152</v>
      </c>
      <c r="F23" s="1" t="s">
        <v>28</v>
      </c>
      <c r="G23" s="1" t="s">
        <v>29</v>
      </c>
      <c r="H23" s="1" t="s">
        <v>19</v>
      </c>
      <c r="I23" s="1" t="s">
        <v>20</v>
      </c>
      <c r="J23" s="1" t="s">
        <v>30</v>
      </c>
      <c r="K23" s="1" t="s">
        <v>21</v>
      </c>
      <c r="L23" s="1" t="s">
        <v>22</v>
      </c>
    </row>
    <row r="24" spans="1:12" ht="15.6" x14ac:dyDescent="0.3">
      <c r="A24" s="1" t="s">
        <v>153</v>
      </c>
      <c r="B24" s="1" t="s">
        <v>154</v>
      </c>
      <c r="C24" s="1" t="s">
        <v>155</v>
      </c>
      <c r="D24" s="1" t="s">
        <v>156</v>
      </c>
      <c r="E24" s="1" t="s">
        <v>91</v>
      </c>
      <c r="F24" s="1" t="s">
        <v>28</v>
      </c>
      <c r="G24" s="1" t="s">
        <v>29</v>
      </c>
      <c r="H24" s="1" t="s">
        <v>19</v>
      </c>
      <c r="I24" s="1" t="s">
        <v>21</v>
      </c>
      <c r="J24" s="1" t="s">
        <v>49</v>
      </c>
      <c r="K24" s="1" t="s">
        <v>21</v>
      </c>
      <c r="L24" s="1" t="s">
        <v>65</v>
      </c>
    </row>
    <row r="25" spans="1:12" ht="15.6" x14ac:dyDescent="0.3">
      <c r="A25" s="1" t="s">
        <v>157</v>
      </c>
      <c r="B25" s="1" t="s">
        <v>158</v>
      </c>
      <c r="C25" s="1" t="s">
        <v>159</v>
      </c>
      <c r="D25" s="1" t="s">
        <v>76</v>
      </c>
      <c r="E25" s="1" t="s">
        <v>77</v>
      </c>
      <c r="F25" s="1" t="s">
        <v>146</v>
      </c>
      <c r="G25" s="1" t="s">
        <v>147</v>
      </c>
      <c r="H25" s="1" t="s">
        <v>19</v>
      </c>
      <c r="I25" s="1" t="s">
        <v>72</v>
      </c>
      <c r="J25" s="1" t="s">
        <v>49</v>
      </c>
      <c r="K25" s="1" t="s">
        <v>21</v>
      </c>
      <c r="L25" s="1" t="s">
        <v>22</v>
      </c>
    </row>
    <row r="26" spans="1:12" ht="15.6" x14ac:dyDescent="0.3">
      <c r="A26" s="1" t="s">
        <v>160</v>
      </c>
      <c r="B26" s="1" t="s">
        <v>161</v>
      </c>
      <c r="C26" s="1" t="s">
        <v>162</v>
      </c>
      <c r="D26" s="1" t="s">
        <v>44</v>
      </c>
      <c r="E26" s="1" t="s">
        <v>45</v>
      </c>
      <c r="F26" s="1" t="s">
        <v>163</v>
      </c>
      <c r="G26" s="1" t="s">
        <v>164</v>
      </c>
      <c r="H26" s="1" t="s">
        <v>19</v>
      </c>
      <c r="I26" s="1" t="s">
        <v>21</v>
      </c>
      <c r="J26" s="1" t="s">
        <v>21</v>
      </c>
      <c r="K26" s="1" t="s">
        <v>40</v>
      </c>
      <c r="L26" s="1" t="s">
        <v>65</v>
      </c>
    </row>
    <row r="27" spans="1:12" ht="15.6" x14ac:dyDescent="0.3">
      <c r="A27" s="1" t="s">
        <v>165</v>
      </c>
      <c r="B27" s="1" t="s">
        <v>166</v>
      </c>
      <c r="C27" s="1" t="s">
        <v>167</v>
      </c>
      <c r="D27" s="1" t="s">
        <v>168</v>
      </c>
      <c r="E27" s="1" t="s">
        <v>152</v>
      </c>
      <c r="F27" s="1" t="s">
        <v>63</v>
      </c>
      <c r="G27" s="1" t="s">
        <v>64</v>
      </c>
      <c r="H27" s="1" t="s">
        <v>19</v>
      </c>
      <c r="I27" s="1" t="s">
        <v>126</v>
      </c>
      <c r="J27" s="1" t="s">
        <v>30</v>
      </c>
      <c r="K27" s="1" t="s">
        <v>40</v>
      </c>
      <c r="L27" s="1" t="s">
        <v>22</v>
      </c>
    </row>
    <row r="28" spans="1:12" ht="15.6" x14ac:dyDescent="0.3">
      <c r="A28" s="1" t="s">
        <v>169</v>
      </c>
      <c r="B28" s="1" t="s">
        <v>170</v>
      </c>
      <c r="C28" s="1" t="s">
        <v>171</v>
      </c>
      <c r="D28" s="1" t="s">
        <v>172</v>
      </c>
      <c r="E28" s="1" t="s">
        <v>173</v>
      </c>
      <c r="F28" s="1" t="s">
        <v>38</v>
      </c>
      <c r="G28" s="1" t="s">
        <v>39</v>
      </c>
      <c r="H28" s="1" t="s">
        <v>19</v>
      </c>
      <c r="I28" s="1" t="s">
        <v>174</v>
      </c>
      <c r="J28" s="1" t="s">
        <v>21</v>
      </c>
      <c r="K28" s="1" t="s">
        <v>21</v>
      </c>
      <c r="L28" s="1" t="s">
        <v>22</v>
      </c>
    </row>
    <row r="29" spans="1:12" ht="15.6" x14ac:dyDescent="0.3">
      <c r="A29" s="1" t="s">
        <v>175</v>
      </c>
      <c r="B29" s="1" t="s">
        <v>176</v>
      </c>
      <c r="C29" s="1" t="s">
        <v>177</v>
      </c>
      <c r="D29" s="1" t="s">
        <v>178</v>
      </c>
      <c r="E29" s="1" t="s">
        <v>45</v>
      </c>
      <c r="F29" s="1" t="s">
        <v>28</v>
      </c>
      <c r="G29" s="1" t="s">
        <v>29</v>
      </c>
      <c r="H29" s="1" t="s">
        <v>19</v>
      </c>
      <c r="I29" s="1" t="s">
        <v>20</v>
      </c>
      <c r="J29" s="1" t="s">
        <v>49</v>
      </c>
      <c r="K29" s="1" t="s">
        <v>40</v>
      </c>
      <c r="L29" s="1" t="s">
        <v>22</v>
      </c>
    </row>
    <row r="30" spans="1:12" ht="15.6" x14ac:dyDescent="0.3">
      <c r="A30" s="1" t="s">
        <v>179</v>
      </c>
      <c r="B30" s="1" t="s">
        <v>180</v>
      </c>
      <c r="C30" s="1" t="s">
        <v>181</v>
      </c>
      <c r="D30" s="1" t="s">
        <v>182</v>
      </c>
      <c r="E30" s="1" t="s">
        <v>183</v>
      </c>
      <c r="F30" s="1" t="s">
        <v>184</v>
      </c>
      <c r="G30" s="1" t="s">
        <v>185</v>
      </c>
      <c r="H30" s="1" t="s">
        <v>19</v>
      </c>
      <c r="I30" s="1" t="s">
        <v>72</v>
      </c>
      <c r="J30" s="1" t="s">
        <v>49</v>
      </c>
      <c r="K30" s="1" t="s">
        <v>40</v>
      </c>
      <c r="L30" s="1" t="s">
        <v>22</v>
      </c>
    </row>
    <row r="31" spans="1:12" ht="15.6" x14ac:dyDescent="0.3">
      <c r="A31" s="1" t="s">
        <v>186</v>
      </c>
      <c r="B31" s="1" t="s">
        <v>187</v>
      </c>
      <c r="C31" s="1" t="s">
        <v>188</v>
      </c>
      <c r="D31" s="1" t="s">
        <v>189</v>
      </c>
      <c r="E31" s="1" t="s">
        <v>190</v>
      </c>
      <c r="F31" s="1" t="s">
        <v>28</v>
      </c>
      <c r="G31" s="1" t="s">
        <v>29</v>
      </c>
      <c r="H31" s="1" t="s">
        <v>19</v>
      </c>
      <c r="I31" s="1" t="s">
        <v>20</v>
      </c>
      <c r="J31" s="1" t="s">
        <v>21</v>
      </c>
      <c r="K31" s="1" t="s">
        <v>21</v>
      </c>
      <c r="L31" s="1" t="s">
        <v>22</v>
      </c>
    </row>
    <row r="32" spans="1:12" ht="15.6" x14ac:dyDescent="0.3">
      <c r="A32" s="1" t="s">
        <v>191</v>
      </c>
      <c r="B32" s="1" t="s">
        <v>192</v>
      </c>
      <c r="C32" s="1" t="s">
        <v>193</v>
      </c>
      <c r="D32" s="1" t="s">
        <v>194</v>
      </c>
      <c r="E32" s="1" t="s">
        <v>195</v>
      </c>
      <c r="F32" s="1" t="s">
        <v>28</v>
      </c>
      <c r="G32" s="1" t="s">
        <v>29</v>
      </c>
      <c r="H32" s="1" t="s">
        <v>19</v>
      </c>
      <c r="I32" s="1" t="s">
        <v>20</v>
      </c>
      <c r="J32" s="1" t="s">
        <v>30</v>
      </c>
      <c r="K32" s="1" t="s">
        <v>21</v>
      </c>
      <c r="L32" s="1" t="s">
        <v>22</v>
      </c>
    </row>
    <row r="33" spans="1:12" ht="15.6" x14ac:dyDescent="0.3">
      <c r="A33" s="1" t="s">
        <v>196</v>
      </c>
      <c r="B33" s="1" t="s">
        <v>197</v>
      </c>
      <c r="C33" s="1" t="s">
        <v>198</v>
      </c>
      <c r="D33" s="1" t="s">
        <v>199</v>
      </c>
      <c r="E33" s="1" t="s">
        <v>84</v>
      </c>
      <c r="F33" s="1" t="s">
        <v>200</v>
      </c>
      <c r="G33" s="1" t="s">
        <v>201</v>
      </c>
      <c r="H33" s="1" t="s">
        <v>19</v>
      </c>
      <c r="I33" s="1" t="s">
        <v>72</v>
      </c>
      <c r="J33" s="1" t="s">
        <v>30</v>
      </c>
      <c r="K33" s="1" t="s">
        <v>21</v>
      </c>
      <c r="L33" s="1" t="s">
        <v>22</v>
      </c>
    </row>
    <row r="34" spans="1:12" ht="15.6" x14ac:dyDescent="0.3">
      <c r="A34" s="1" t="s">
        <v>202</v>
      </c>
      <c r="B34" s="1" t="s">
        <v>203</v>
      </c>
      <c r="C34" s="1" t="s">
        <v>204</v>
      </c>
      <c r="D34" s="1" t="s">
        <v>136</v>
      </c>
      <c r="E34" s="1" t="s">
        <v>37</v>
      </c>
      <c r="F34" s="1" t="s">
        <v>28</v>
      </c>
      <c r="G34" s="1" t="s">
        <v>29</v>
      </c>
      <c r="H34" s="1" t="s">
        <v>19</v>
      </c>
      <c r="I34" s="1" t="s">
        <v>20</v>
      </c>
      <c r="J34" s="1" t="s">
        <v>49</v>
      </c>
      <c r="K34" s="1" t="s">
        <v>40</v>
      </c>
      <c r="L34" s="1" t="s">
        <v>22</v>
      </c>
    </row>
    <row r="35" spans="1:12" ht="15.6" x14ac:dyDescent="0.3">
      <c r="A35" s="1" t="s">
        <v>205</v>
      </c>
      <c r="B35" s="1" t="s">
        <v>206</v>
      </c>
      <c r="C35" s="1" t="s">
        <v>207</v>
      </c>
      <c r="D35" s="1" t="s">
        <v>76</v>
      </c>
      <c r="E35" s="1" t="s">
        <v>77</v>
      </c>
      <c r="F35" s="1" t="s">
        <v>28</v>
      </c>
      <c r="G35" s="1" t="s">
        <v>29</v>
      </c>
      <c r="H35" s="1" t="s">
        <v>19</v>
      </c>
      <c r="I35" s="1" t="s">
        <v>20</v>
      </c>
      <c r="J35" s="1" t="s">
        <v>49</v>
      </c>
      <c r="K35" s="1" t="s">
        <v>21</v>
      </c>
      <c r="L35" s="1" t="s">
        <v>22</v>
      </c>
    </row>
    <row r="36" spans="1:12" ht="15.6" x14ac:dyDescent="0.3">
      <c r="A36" s="1" t="s">
        <v>208</v>
      </c>
      <c r="B36" s="1" t="s">
        <v>209</v>
      </c>
      <c r="C36" s="1" t="s">
        <v>210</v>
      </c>
      <c r="D36" s="1" t="s">
        <v>120</v>
      </c>
      <c r="E36" s="1" t="s">
        <v>54</v>
      </c>
      <c r="F36" s="1" t="s">
        <v>211</v>
      </c>
      <c r="G36" s="1" t="s">
        <v>212</v>
      </c>
      <c r="H36" s="1" t="s">
        <v>19</v>
      </c>
      <c r="I36" s="1" t="s">
        <v>174</v>
      </c>
      <c r="J36" s="1" t="s">
        <v>213</v>
      </c>
      <c r="K36" s="1" t="s">
        <v>40</v>
      </c>
      <c r="L36" s="1" t="s">
        <v>22</v>
      </c>
    </row>
    <row r="37" spans="1:12" ht="15.6" x14ac:dyDescent="0.3">
      <c r="A37" s="1" t="s">
        <v>214</v>
      </c>
      <c r="B37" s="1" t="s">
        <v>215</v>
      </c>
      <c r="C37" s="1" t="s">
        <v>216</v>
      </c>
      <c r="D37" s="1" t="s">
        <v>76</v>
      </c>
      <c r="E37" s="1" t="s">
        <v>77</v>
      </c>
      <c r="F37" s="1" t="s">
        <v>78</v>
      </c>
      <c r="G37" s="1" t="s">
        <v>79</v>
      </c>
      <c r="H37" s="1" t="s">
        <v>19</v>
      </c>
      <c r="I37" s="1" t="s">
        <v>72</v>
      </c>
      <c r="J37" s="1" t="s">
        <v>49</v>
      </c>
      <c r="K37" s="1" t="s">
        <v>21</v>
      </c>
      <c r="L37" s="1" t="s">
        <v>22</v>
      </c>
    </row>
    <row r="38" spans="1:12" ht="15.6" x14ac:dyDescent="0.3">
      <c r="A38" s="1" t="s">
        <v>217</v>
      </c>
      <c r="B38" s="1" t="s">
        <v>218</v>
      </c>
      <c r="C38" s="1" t="s">
        <v>219</v>
      </c>
      <c r="D38" s="1" t="s">
        <v>220</v>
      </c>
      <c r="E38" s="1" t="s">
        <v>102</v>
      </c>
      <c r="F38" s="1" t="s">
        <v>184</v>
      </c>
      <c r="G38" s="1" t="s">
        <v>185</v>
      </c>
      <c r="H38" s="1" t="s">
        <v>19</v>
      </c>
      <c r="I38" s="1" t="s">
        <v>72</v>
      </c>
      <c r="J38" s="1" t="s">
        <v>49</v>
      </c>
      <c r="K38" s="1" t="s">
        <v>21</v>
      </c>
      <c r="L38" s="1" t="s">
        <v>22</v>
      </c>
    </row>
    <row r="39" spans="1:12" ht="15.6" x14ac:dyDescent="0.3">
      <c r="A39" s="1" t="s">
        <v>221</v>
      </c>
      <c r="B39" s="1" t="s">
        <v>222</v>
      </c>
      <c r="C39" s="1" t="s">
        <v>223</v>
      </c>
      <c r="D39" s="1" t="s">
        <v>108</v>
      </c>
      <c r="E39" s="1" t="s">
        <v>45</v>
      </c>
      <c r="F39" s="1" t="s">
        <v>224</v>
      </c>
      <c r="G39" s="1" t="s">
        <v>225</v>
      </c>
      <c r="H39" s="1" t="s">
        <v>19</v>
      </c>
      <c r="I39" s="1" t="s">
        <v>20</v>
      </c>
      <c r="J39" s="1" t="s">
        <v>49</v>
      </c>
      <c r="K39" s="1" t="s">
        <v>21</v>
      </c>
      <c r="L39" s="1" t="s">
        <v>22</v>
      </c>
    </row>
    <row r="40" spans="1:12" ht="15.6" x14ac:dyDescent="0.3">
      <c r="A40" s="1" t="s">
        <v>226</v>
      </c>
      <c r="B40" s="1" t="s">
        <v>227</v>
      </c>
      <c r="C40" s="1" t="s">
        <v>228</v>
      </c>
      <c r="D40" s="1" t="s">
        <v>229</v>
      </c>
      <c r="E40" s="1" t="s">
        <v>230</v>
      </c>
      <c r="F40" s="1" t="s">
        <v>184</v>
      </c>
      <c r="G40" s="1" t="s">
        <v>185</v>
      </c>
      <c r="H40" s="1" t="s">
        <v>19</v>
      </c>
      <c r="I40" s="1" t="s">
        <v>72</v>
      </c>
      <c r="J40" s="1" t="s">
        <v>49</v>
      </c>
      <c r="K40" s="1" t="s">
        <v>40</v>
      </c>
      <c r="L40" s="1" t="s">
        <v>22</v>
      </c>
    </row>
    <row r="41" spans="1:12" ht="15.6" x14ac:dyDescent="0.3">
      <c r="A41" s="1" t="s">
        <v>231</v>
      </c>
      <c r="B41" s="1" t="s">
        <v>232</v>
      </c>
      <c r="C41" s="1" t="s">
        <v>233</v>
      </c>
      <c r="D41" s="1" t="s">
        <v>182</v>
      </c>
      <c r="E41" s="1" t="s">
        <v>183</v>
      </c>
      <c r="F41" s="1" t="s">
        <v>234</v>
      </c>
      <c r="G41" s="1" t="s">
        <v>235</v>
      </c>
      <c r="H41" s="1" t="s">
        <v>236</v>
      </c>
      <c r="I41" s="1" t="s">
        <v>21</v>
      </c>
      <c r="J41" s="1" t="s">
        <v>49</v>
      </c>
      <c r="K41" s="1" t="s">
        <v>21</v>
      </c>
      <c r="L41" s="1" t="s">
        <v>65</v>
      </c>
    </row>
    <row r="42" spans="1:12" ht="15.6" x14ac:dyDescent="0.3">
      <c r="A42" s="1" t="s">
        <v>237</v>
      </c>
      <c r="B42" s="1" t="s">
        <v>238</v>
      </c>
      <c r="C42" s="1" t="s">
        <v>239</v>
      </c>
      <c r="D42" s="1" t="s">
        <v>136</v>
      </c>
      <c r="E42" s="1" t="s">
        <v>37</v>
      </c>
      <c r="F42" s="1" t="s">
        <v>240</v>
      </c>
      <c r="G42" s="1" t="s">
        <v>241</v>
      </c>
      <c r="H42" s="1" t="s">
        <v>19</v>
      </c>
      <c r="I42" s="1" t="s">
        <v>242</v>
      </c>
      <c r="J42" s="1" t="s">
        <v>49</v>
      </c>
      <c r="K42" s="1" t="s">
        <v>21</v>
      </c>
      <c r="L42" s="1" t="s">
        <v>22</v>
      </c>
    </row>
    <row r="43" spans="1:12" ht="15.6" x14ac:dyDescent="0.3">
      <c r="A43" s="1" t="s">
        <v>243</v>
      </c>
      <c r="B43" s="1" t="s">
        <v>244</v>
      </c>
      <c r="C43" s="1" t="s">
        <v>245</v>
      </c>
      <c r="D43" s="1" t="s">
        <v>246</v>
      </c>
      <c r="E43" s="1" t="s">
        <v>247</v>
      </c>
      <c r="F43" s="1" t="s">
        <v>211</v>
      </c>
      <c r="G43" s="1" t="s">
        <v>212</v>
      </c>
      <c r="H43" s="1" t="s">
        <v>19</v>
      </c>
      <c r="I43" s="1" t="s">
        <v>174</v>
      </c>
      <c r="J43" s="1" t="s">
        <v>49</v>
      </c>
      <c r="K43" s="1" t="s">
        <v>21</v>
      </c>
      <c r="L43" s="1" t="s">
        <v>22</v>
      </c>
    </row>
    <row r="44" spans="1:12" ht="15.6" x14ac:dyDescent="0.3">
      <c r="A44" s="1" t="s">
        <v>248</v>
      </c>
      <c r="B44" s="1" t="s">
        <v>249</v>
      </c>
      <c r="C44" s="1" t="s">
        <v>250</v>
      </c>
      <c r="D44" s="1" t="s">
        <v>156</v>
      </c>
      <c r="E44" s="1" t="s">
        <v>91</v>
      </c>
      <c r="F44" s="1" t="s">
        <v>28</v>
      </c>
      <c r="G44" s="1" t="s">
        <v>29</v>
      </c>
      <c r="H44" s="1" t="s">
        <v>19</v>
      </c>
      <c r="I44" s="1" t="s">
        <v>20</v>
      </c>
      <c r="J44" s="1" t="s">
        <v>49</v>
      </c>
      <c r="K44" s="1" t="s">
        <v>21</v>
      </c>
      <c r="L44" s="1" t="s">
        <v>22</v>
      </c>
    </row>
    <row r="45" spans="1:12" ht="15.6" x14ac:dyDescent="0.3">
      <c r="A45" s="1" t="s">
        <v>251</v>
      </c>
      <c r="B45" s="1" t="s">
        <v>252</v>
      </c>
      <c r="C45" s="1" t="s">
        <v>253</v>
      </c>
      <c r="D45" s="1" t="s">
        <v>120</v>
      </c>
      <c r="E45" s="1" t="s">
        <v>54</v>
      </c>
      <c r="F45" s="1" t="s">
        <v>70</v>
      </c>
      <c r="G45" s="1" t="s">
        <v>71</v>
      </c>
      <c r="H45" s="1" t="s">
        <v>19</v>
      </c>
      <c r="I45" s="1" t="s">
        <v>21</v>
      </c>
      <c r="J45" s="1" t="s">
        <v>213</v>
      </c>
      <c r="K45" s="1" t="s">
        <v>21</v>
      </c>
      <c r="L45" s="1" t="s">
        <v>65</v>
      </c>
    </row>
    <row r="46" spans="1:12" ht="15.6" x14ac:dyDescent="0.3">
      <c r="A46" s="1" t="s">
        <v>254</v>
      </c>
      <c r="B46" s="1" t="s">
        <v>255</v>
      </c>
      <c r="C46" s="1" t="s">
        <v>256</v>
      </c>
      <c r="D46" s="1" t="s">
        <v>257</v>
      </c>
      <c r="E46" s="1" t="s">
        <v>45</v>
      </c>
      <c r="F46" s="1" t="s">
        <v>28</v>
      </c>
      <c r="G46" s="1" t="s">
        <v>29</v>
      </c>
      <c r="H46" s="1" t="s">
        <v>19</v>
      </c>
      <c r="I46" s="1" t="s">
        <v>20</v>
      </c>
      <c r="J46" s="1" t="s">
        <v>21</v>
      </c>
      <c r="K46" s="1" t="s">
        <v>21</v>
      </c>
      <c r="L46" s="1" t="s">
        <v>22</v>
      </c>
    </row>
    <row r="47" spans="1:12" ht="15.6" x14ac:dyDescent="0.3">
      <c r="A47" s="1" t="s">
        <v>258</v>
      </c>
      <c r="B47" s="1" t="s">
        <v>259</v>
      </c>
      <c r="C47" s="1" t="s">
        <v>260</v>
      </c>
      <c r="D47" s="1" t="s">
        <v>261</v>
      </c>
      <c r="E47" s="1" t="s">
        <v>262</v>
      </c>
      <c r="F47" s="1" t="s">
        <v>211</v>
      </c>
      <c r="G47" s="1" t="s">
        <v>212</v>
      </c>
      <c r="H47" s="1" t="s">
        <v>19</v>
      </c>
      <c r="I47" s="1" t="s">
        <v>174</v>
      </c>
      <c r="J47" s="1" t="s">
        <v>30</v>
      </c>
      <c r="K47" s="1" t="s">
        <v>40</v>
      </c>
      <c r="L47" s="1" t="s">
        <v>22</v>
      </c>
    </row>
    <row r="48" spans="1:12" ht="15.6" x14ac:dyDescent="0.3">
      <c r="A48" s="1" t="s">
        <v>263</v>
      </c>
      <c r="B48" s="1" t="s">
        <v>264</v>
      </c>
      <c r="C48" s="1" t="s">
        <v>265</v>
      </c>
      <c r="D48" s="1" t="s">
        <v>266</v>
      </c>
      <c r="E48" s="1" t="s">
        <v>262</v>
      </c>
      <c r="F48" s="1" t="s">
        <v>46</v>
      </c>
      <c r="G48" s="1" t="s">
        <v>47</v>
      </c>
      <c r="H48" s="1" t="s">
        <v>19</v>
      </c>
      <c r="I48" s="1" t="s">
        <v>48</v>
      </c>
      <c r="J48" s="1" t="s">
        <v>21</v>
      </c>
      <c r="K48" s="1" t="s">
        <v>40</v>
      </c>
      <c r="L48" s="1" t="s">
        <v>22</v>
      </c>
    </row>
    <row r="49" spans="1:12" ht="15.6" x14ac:dyDescent="0.3">
      <c r="A49" s="1" t="s">
        <v>267</v>
      </c>
      <c r="B49" s="1" t="s">
        <v>268</v>
      </c>
      <c r="C49" s="1" t="s">
        <v>269</v>
      </c>
      <c r="D49" s="1" t="s">
        <v>266</v>
      </c>
      <c r="E49" s="1" t="s">
        <v>262</v>
      </c>
      <c r="F49" s="1" t="s">
        <v>270</v>
      </c>
      <c r="G49" s="1" t="s">
        <v>271</v>
      </c>
      <c r="H49" s="1" t="s">
        <v>19</v>
      </c>
      <c r="I49" s="1" t="s">
        <v>21</v>
      </c>
      <c r="J49" s="1" t="s">
        <v>30</v>
      </c>
      <c r="K49" s="1" t="s">
        <v>40</v>
      </c>
      <c r="L49" s="1" t="s">
        <v>65</v>
      </c>
    </row>
    <row r="50" spans="1:12" ht="15.6" x14ac:dyDescent="0.3">
      <c r="A50" s="1" t="s">
        <v>272</v>
      </c>
      <c r="B50" s="1" t="s">
        <v>273</v>
      </c>
      <c r="C50" s="1" t="s">
        <v>274</v>
      </c>
      <c r="D50" s="1" t="s">
        <v>275</v>
      </c>
      <c r="E50" s="1" t="s">
        <v>276</v>
      </c>
      <c r="F50" s="1" t="s">
        <v>85</v>
      </c>
      <c r="G50" s="1" t="s">
        <v>86</v>
      </c>
      <c r="H50" s="1" t="s">
        <v>19</v>
      </c>
      <c r="I50" s="1" t="s">
        <v>48</v>
      </c>
      <c r="J50" s="1" t="s">
        <v>21</v>
      </c>
      <c r="K50" s="1" t="s">
        <v>40</v>
      </c>
      <c r="L50" s="1" t="s">
        <v>22</v>
      </c>
    </row>
    <row r="51" spans="1:12" ht="15.6" x14ac:dyDescent="0.3">
      <c r="A51" s="1" t="s">
        <v>277</v>
      </c>
      <c r="B51" s="1" t="s">
        <v>278</v>
      </c>
      <c r="C51" s="1" t="s">
        <v>279</v>
      </c>
      <c r="D51" s="1" t="s">
        <v>136</v>
      </c>
      <c r="E51" s="1" t="s">
        <v>37</v>
      </c>
      <c r="F51" s="1" t="s">
        <v>63</v>
      </c>
      <c r="G51" s="1" t="s">
        <v>64</v>
      </c>
      <c r="H51" s="1" t="s">
        <v>19</v>
      </c>
      <c r="I51" s="1" t="s">
        <v>126</v>
      </c>
      <c r="J51" s="1" t="s">
        <v>49</v>
      </c>
      <c r="K51" s="1" t="s">
        <v>21</v>
      </c>
      <c r="L51" s="1" t="s">
        <v>22</v>
      </c>
    </row>
    <row r="52" spans="1:12" ht="15.6" x14ac:dyDescent="0.3">
      <c r="A52" s="1" t="s">
        <v>280</v>
      </c>
      <c r="B52" s="1" t="s">
        <v>281</v>
      </c>
      <c r="C52" s="1" t="s">
        <v>282</v>
      </c>
      <c r="D52" s="1" t="s">
        <v>283</v>
      </c>
      <c r="E52" s="1" t="s">
        <v>102</v>
      </c>
      <c r="F52" s="1" t="s">
        <v>284</v>
      </c>
      <c r="G52" s="1" t="s">
        <v>285</v>
      </c>
      <c r="H52" s="1" t="s">
        <v>19</v>
      </c>
      <c r="I52" s="1" t="s">
        <v>20</v>
      </c>
      <c r="J52" s="1" t="s">
        <v>49</v>
      </c>
      <c r="K52" s="1" t="s">
        <v>40</v>
      </c>
      <c r="L52" s="1" t="s">
        <v>22</v>
      </c>
    </row>
    <row r="53" spans="1:12" ht="15.6" x14ac:dyDescent="0.3">
      <c r="A53" s="1" t="s">
        <v>286</v>
      </c>
      <c r="B53" s="1" t="s">
        <v>287</v>
      </c>
      <c r="C53" s="1" t="s">
        <v>288</v>
      </c>
      <c r="D53" s="1" t="s">
        <v>44</v>
      </c>
      <c r="E53" s="1" t="s">
        <v>45</v>
      </c>
      <c r="F53" s="1" t="s">
        <v>289</v>
      </c>
      <c r="G53" s="1" t="s">
        <v>290</v>
      </c>
      <c r="H53" s="1" t="s">
        <v>19</v>
      </c>
      <c r="I53" s="1" t="s">
        <v>72</v>
      </c>
      <c r="J53" s="1" t="s">
        <v>21</v>
      </c>
      <c r="K53" s="1" t="s">
        <v>21</v>
      </c>
      <c r="L53" s="1" t="s">
        <v>22</v>
      </c>
    </row>
    <row r="54" spans="1:12" ht="15.6" x14ac:dyDescent="0.3">
      <c r="A54" s="1" t="s">
        <v>291</v>
      </c>
      <c r="B54" s="1" t="s">
        <v>292</v>
      </c>
      <c r="C54" s="1" t="s">
        <v>293</v>
      </c>
      <c r="D54" s="1" t="s">
        <v>294</v>
      </c>
      <c r="E54" s="1" t="s">
        <v>37</v>
      </c>
      <c r="F54" s="1" t="s">
        <v>295</v>
      </c>
      <c r="G54" s="1" t="s">
        <v>296</v>
      </c>
      <c r="H54" s="1" t="s">
        <v>19</v>
      </c>
      <c r="I54" s="1" t="s">
        <v>297</v>
      </c>
      <c r="J54" s="1" t="s">
        <v>21</v>
      </c>
      <c r="K54" s="1" t="s">
        <v>40</v>
      </c>
      <c r="L54" s="1" t="s">
        <v>22</v>
      </c>
    </row>
    <row r="55" spans="1:12" ht="15.6" x14ac:dyDescent="0.3">
      <c r="A55" s="1" t="s">
        <v>298</v>
      </c>
      <c r="B55" s="1" t="s">
        <v>299</v>
      </c>
      <c r="C55" s="1" t="s">
        <v>300</v>
      </c>
      <c r="D55" s="1" t="s">
        <v>44</v>
      </c>
      <c r="E55" s="1" t="s">
        <v>45</v>
      </c>
      <c r="F55" s="1" t="s">
        <v>28</v>
      </c>
      <c r="G55" s="1" t="s">
        <v>29</v>
      </c>
      <c r="H55" s="1" t="s">
        <v>19</v>
      </c>
      <c r="I55" s="1" t="s">
        <v>20</v>
      </c>
      <c r="J55" s="1" t="s">
        <v>49</v>
      </c>
      <c r="K55" s="1" t="s">
        <v>40</v>
      </c>
      <c r="L55" s="1" t="s">
        <v>22</v>
      </c>
    </row>
    <row r="56" spans="1:12" ht="15.6" x14ac:dyDescent="0.3">
      <c r="A56" s="1" t="s">
        <v>301</v>
      </c>
      <c r="B56" s="1" t="s">
        <v>302</v>
      </c>
      <c r="C56" s="1" t="s">
        <v>303</v>
      </c>
      <c r="D56" s="1" t="s">
        <v>120</v>
      </c>
      <c r="E56" s="1" t="s">
        <v>54</v>
      </c>
      <c r="F56" s="1" t="s">
        <v>304</v>
      </c>
      <c r="G56" s="1" t="s">
        <v>305</v>
      </c>
      <c r="H56" s="1" t="s">
        <v>19</v>
      </c>
      <c r="I56" s="1" t="s">
        <v>242</v>
      </c>
      <c r="J56" s="1" t="s">
        <v>213</v>
      </c>
      <c r="K56" s="1" t="s">
        <v>21</v>
      </c>
      <c r="L56" s="1" t="s">
        <v>22</v>
      </c>
    </row>
    <row r="57" spans="1:12" ht="15.6" x14ac:dyDescent="0.3">
      <c r="A57" s="1" t="s">
        <v>306</v>
      </c>
      <c r="B57" s="1" t="s">
        <v>307</v>
      </c>
      <c r="C57" s="1" t="s">
        <v>308</v>
      </c>
      <c r="D57" s="1" t="s">
        <v>120</v>
      </c>
      <c r="E57" s="1" t="s">
        <v>54</v>
      </c>
      <c r="F57" s="1" t="s">
        <v>184</v>
      </c>
      <c r="G57" s="1" t="s">
        <v>185</v>
      </c>
      <c r="H57" s="1" t="s">
        <v>19</v>
      </c>
      <c r="I57" s="1" t="s">
        <v>72</v>
      </c>
      <c r="J57" s="1" t="s">
        <v>213</v>
      </c>
      <c r="K57" s="1" t="s">
        <v>21</v>
      </c>
      <c r="L57" s="1" t="s">
        <v>22</v>
      </c>
    </row>
    <row r="58" spans="1:12" ht="15.6" x14ac:dyDescent="0.3">
      <c r="A58" s="1" t="s">
        <v>309</v>
      </c>
      <c r="B58" s="1" t="s">
        <v>310</v>
      </c>
      <c r="C58" s="1" t="s">
        <v>311</v>
      </c>
      <c r="D58" s="1" t="s">
        <v>312</v>
      </c>
      <c r="E58" s="1" t="s">
        <v>45</v>
      </c>
      <c r="F58" s="1" t="s">
        <v>163</v>
      </c>
      <c r="G58" s="1" t="s">
        <v>313</v>
      </c>
      <c r="H58" s="1" t="s">
        <v>19</v>
      </c>
      <c r="I58" s="1" t="s">
        <v>297</v>
      </c>
      <c r="J58" s="1" t="s">
        <v>21</v>
      </c>
      <c r="K58" s="1" t="s">
        <v>21</v>
      </c>
      <c r="L58" s="1" t="s">
        <v>22</v>
      </c>
    </row>
    <row r="59" spans="1:12" ht="15.6" x14ac:dyDescent="0.3">
      <c r="A59" s="1" t="s">
        <v>314</v>
      </c>
      <c r="B59" s="1" t="s">
        <v>315</v>
      </c>
      <c r="C59" s="1" t="s">
        <v>316</v>
      </c>
      <c r="D59" s="1" t="s">
        <v>44</v>
      </c>
      <c r="E59" s="1" t="s">
        <v>45</v>
      </c>
      <c r="F59" s="1" t="s">
        <v>184</v>
      </c>
      <c r="G59" s="1" t="s">
        <v>185</v>
      </c>
      <c r="H59" s="1" t="s">
        <v>19</v>
      </c>
      <c r="I59" s="1" t="s">
        <v>72</v>
      </c>
      <c r="J59" s="1" t="s">
        <v>49</v>
      </c>
      <c r="K59" s="1" t="s">
        <v>21</v>
      </c>
      <c r="L59" s="1" t="s">
        <v>22</v>
      </c>
    </row>
    <row r="60" spans="1:12" ht="15.6" x14ac:dyDescent="0.3">
      <c r="A60" s="1" t="s">
        <v>317</v>
      </c>
      <c r="B60" s="1" t="s">
        <v>318</v>
      </c>
      <c r="C60" s="1" t="s">
        <v>319</v>
      </c>
      <c r="D60" s="1" t="s">
        <v>320</v>
      </c>
      <c r="E60" s="1" t="s">
        <v>247</v>
      </c>
      <c r="F60" s="1" t="s">
        <v>321</v>
      </c>
      <c r="G60" s="1" t="s">
        <v>322</v>
      </c>
      <c r="H60" s="1" t="s">
        <v>19</v>
      </c>
      <c r="I60" s="1" t="s">
        <v>323</v>
      </c>
      <c r="J60" s="1" t="s">
        <v>324</v>
      </c>
      <c r="K60" s="1" t="s">
        <v>40</v>
      </c>
      <c r="L60" s="1" t="s">
        <v>22</v>
      </c>
    </row>
    <row r="61" spans="1:12" ht="15.6" x14ac:dyDescent="0.3">
      <c r="A61" s="1" t="s">
        <v>325</v>
      </c>
      <c r="B61" s="1" t="s">
        <v>326</v>
      </c>
      <c r="C61" s="1" t="s">
        <v>327</v>
      </c>
      <c r="D61" s="1" t="s">
        <v>328</v>
      </c>
      <c r="E61" s="1" t="s">
        <v>45</v>
      </c>
      <c r="F61" s="1" t="s">
        <v>163</v>
      </c>
      <c r="G61" s="1" t="s">
        <v>313</v>
      </c>
      <c r="H61" s="1" t="s">
        <v>19</v>
      </c>
      <c r="I61" s="1" t="s">
        <v>297</v>
      </c>
      <c r="J61" s="1" t="s">
        <v>21</v>
      </c>
      <c r="K61" s="1" t="s">
        <v>21</v>
      </c>
      <c r="L61" s="1" t="s">
        <v>22</v>
      </c>
    </row>
    <row r="62" spans="1:12" ht="15.6" x14ac:dyDescent="0.3">
      <c r="A62" s="1" t="s">
        <v>329</v>
      </c>
      <c r="B62" s="1" t="s">
        <v>330</v>
      </c>
      <c r="C62" s="1" t="s">
        <v>331</v>
      </c>
      <c r="D62" s="1" t="s">
        <v>332</v>
      </c>
      <c r="E62" s="1" t="s">
        <v>102</v>
      </c>
      <c r="F62" s="1" t="s">
        <v>333</v>
      </c>
      <c r="G62" s="1" t="s">
        <v>334</v>
      </c>
      <c r="H62" s="1" t="s">
        <v>19</v>
      </c>
      <c r="I62" s="1" t="s">
        <v>297</v>
      </c>
      <c r="J62" s="1" t="s">
        <v>21</v>
      </c>
      <c r="K62" s="1" t="s">
        <v>21</v>
      </c>
      <c r="L62" s="1" t="s">
        <v>22</v>
      </c>
    </row>
    <row r="63" spans="1:12" ht="15.6" x14ac:dyDescent="0.3">
      <c r="A63" s="1" t="s">
        <v>335</v>
      </c>
      <c r="B63" s="1" t="s">
        <v>336</v>
      </c>
      <c r="C63" s="1" t="s">
        <v>337</v>
      </c>
      <c r="D63" s="1" t="s">
        <v>338</v>
      </c>
      <c r="E63" s="1" t="s">
        <v>339</v>
      </c>
      <c r="F63" s="1" t="s">
        <v>184</v>
      </c>
      <c r="G63" s="1" t="s">
        <v>185</v>
      </c>
      <c r="H63" s="1" t="s">
        <v>19</v>
      </c>
      <c r="I63" s="1" t="s">
        <v>72</v>
      </c>
      <c r="J63" s="1" t="s">
        <v>49</v>
      </c>
      <c r="K63" s="1" t="s">
        <v>21</v>
      </c>
      <c r="L63" s="1" t="s">
        <v>22</v>
      </c>
    </row>
    <row r="64" spans="1:12" ht="15.6" x14ac:dyDescent="0.3">
      <c r="A64" s="1" t="s">
        <v>340</v>
      </c>
      <c r="B64" s="1" t="s">
        <v>341</v>
      </c>
      <c r="C64" s="1" t="s">
        <v>342</v>
      </c>
      <c r="D64" s="1" t="s">
        <v>44</v>
      </c>
      <c r="E64" s="1" t="s">
        <v>45</v>
      </c>
      <c r="F64" s="1" t="s">
        <v>343</v>
      </c>
      <c r="G64" s="1" t="s">
        <v>344</v>
      </c>
      <c r="H64" s="1" t="s">
        <v>19</v>
      </c>
      <c r="I64" s="1" t="s">
        <v>72</v>
      </c>
      <c r="J64" s="1" t="s">
        <v>49</v>
      </c>
      <c r="K64" s="1" t="s">
        <v>21</v>
      </c>
      <c r="L64" s="1" t="s">
        <v>22</v>
      </c>
    </row>
    <row r="65" spans="1:12" ht="15.6" x14ac:dyDescent="0.3">
      <c r="A65" s="1" t="s">
        <v>345</v>
      </c>
      <c r="B65" s="1" t="s">
        <v>346</v>
      </c>
      <c r="C65" s="1" t="s">
        <v>347</v>
      </c>
      <c r="D65" s="1" t="s">
        <v>348</v>
      </c>
      <c r="E65" s="1" t="s">
        <v>84</v>
      </c>
      <c r="F65" s="1" t="s">
        <v>163</v>
      </c>
      <c r="G65" s="1" t="s">
        <v>164</v>
      </c>
      <c r="H65" s="1" t="s">
        <v>19</v>
      </c>
      <c r="I65" s="1" t="s">
        <v>349</v>
      </c>
      <c r="J65" s="1" t="s">
        <v>21</v>
      </c>
      <c r="K65" s="1" t="s">
        <v>21</v>
      </c>
      <c r="L65" s="1" t="s">
        <v>22</v>
      </c>
    </row>
    <row r="66" spans="1:12" ht="15.6" x14ac:dyDescent="0.3">
      <c r="A66" s="1" t="s">
        <v>350</v>
      </c>
      <c r="B66" s="1" t="s">
        <v>351</v>
      </c>
      <c r="C66" s="1" t="s">
        <v>352</v>
      </c>
      <c r="D66" s="1" t="s">
        <v>156</v>
      </c>
      <c r="E66" s="1" t="s">
        <v>91</v>
      </c>
      <c r="F66" s="1" t="s">
        <v>28</v>
      </c>
      <c r="G66" s="1" t="s">
        <v>29</v>
      </c>
      <c r="H66" s="1" t="s">
        <v>19</v>
      </c>
      <c r="I66" s="1" t="s">
        <v>21</v>
      </c>
      <c r="J66" s="1" t="s">
        <v>49</v>
      </c>
      <c r="K66" s="1" t="s">
        <v>21</v>
      </c>
      <c r="L66" s="1" t="s">
        <v>22</v>
      </c>
    </row>
    <row r="67" spans="1:12" ht="15.6" x14ac:dyDescent="0.3">
      <c r="A67" s="1" t="s">
        <v>353</v>
      </c>
      <c r="B67" s="1" t="s">
        <v>354</v>
      </c>
      <c r="C67" s="1" t="s">
        <v>355</v>
      </c>
      <c r="D67" s="1" t="s">
        <v>69</v>
      </c>
      <c r="E67" s="1" t="s">
        <v>62</v>
      </c>
      <c r="F67" s="1" t="s">
        <v>28</v>
      </c>
      <c r="G67" s="1" t="s">
        <v>29</v>
      </c>
      <c r="H67" s="1" t="s">
        <v>19</v>
      </c>
      <c r="I67" s="1" t="s">
        <v>20</v>
      </c>
      <c r="J67" s="1" t="s">
        <v>49</v>
      </c>
      <c r="K67" s="1" t="s">
        <v>21</v>
      </c>
      <c r="L67" s="1" t="s">
        <v>22</v>
      </c>
    </row>
    <row r="68" spans="1:12" ht="15.6" x14ac:dyDescent="0.3">
      <c r="A68" s="1" t="s">
        <v>356</v>
      </c>
      <c r="B68" s="1" t="s">
        <v>357</v>
      </c>
      <c r="C68" s="1" t="s">
        <v>141</v>
      </c>
      <c r="D68" s="1" t="s">
        <v>44</v>
      </c>
      <c r="E68" s="1" t="s">
        <v>45</v>
      </c>
      <c r="F68" s="1" t="s">
        <v>358</v>
      </c>
      <c r="G68" s="1" t="s">
        <v>359</v>
      </c>
      <c r="H68" s="1" t="s">
        <v>19</v>
      </c>
      <c r="I68" s="1" t="s">
        <v>72</v>
      </c>
      <c r="J68" s="1" t="s">
        <v>49</v>
      </c>
      <c r="K68" s="1" t="s">
        <v>40</v>
      </c>
      <c r="L68" s="1" t="s">
        <v>22</v>
      </c>
    </row>
    <row r="69" spans="1:12" ht="15.6" x14ac:dyDescent="0.3">
      <c r="A69" s="1" t="s">
        <v>360</v>
      </c>
      <c r="B69" s="1" t="s">
        <v>361</v>
      </c>
      <c r="C69" s="1" t="s">
        <v>362</v>
      </c>
      <c r="D69" s="1" t="s">
        <v>363</v>
      </c>
      <c r="E69" s="1" t="s">
        <v>364</v>
      </c>
      <c r="F69" s="1" t="s">
        <v>28</v>
      </c>
      <c r="G69" s="1" t="s">
        <v>29</v>
      </c>
      <c r="H69" s="1" t="s">
        <v>19</v>
      </c>
      <c r="I69" s="1" t="s">
        <v>20</v>
      </c>
      <c r="J69" s="1" t="s">
        <v>49</v>
      </c>
      <c r="K69" s="1" t="s">
        <v>21</v>
      </c>
      <c r="L69" s="1" t="s">
        <v>22</v>
      </c>
    </row>
    <row r="70" spans="1:12" ht="15.6" x14ac:dyDescent="0.3">
      <c r="A70" s="1" t="s">
        <v>365</v>
      </c>
      <c r="B70" s="1" t="s">
        <v>366</v>
      </c>
      <c r="C70" s="1" t="s">
        <v>367</v>
      </c>
      <c r="D70" s="1" t="s">
        <v>368</v>
      </c>
      <c r="E70" s="1" t="s">
        <v>102</v>
      </c>
      <c r="F70" s="1" t="s">
        <v>224</v>
      </c>
      <c r="G70" s="1" t="s">
        <v>369</v>
      </c>
      <c r="H70" s="1" t="s">
        <v>19</v>
      </c>
      <c r="I70" s="1" t="s">
        <v>20</v>
      </c>
      <c r="J70" s="1" t="s">
        <v>21</v>
      </c>
      <c r="K70" s="1" t="s">
        <v>21</v>
      </c>
      <c r="L70" s="1" t="s">
        <v>22</v>
      </c>
    </row>
    <row r="71" spans="1:12" ht="15.6" x14ac:dyDescent="0.3">
      <c r="A71" s="1" t="s">
        <v>370</v>
      </c>
      <c r="B71" s="1" t="s">
        <v>371</v>
      </c>
      <c r="C71" s="1" t="s">
        <v>372</v>
      </c>
      <c r="D71" s="1" t="s">
        <v>373</v>
      </c>
      <c r="E71" s="1" t="s">
        <v>54</v>
      </c>
      <c r="F71" s="1" t="s">
        <v>28</v>
      </c>
      <c r="G71" s="1" t="s">
        <v>29</v>
      </c>
      <c r="H71" s="1" t="s">
        <v>19</v>
      </c>
      <c r="I71" s="1" t="s">
        <v>20</v>
      </c>
      <c r="J71" s="1" t="s">
        <v>213</v>
      </c>
      <c r="K71" s="1" t="s">
        <v>21</v>
      </c>
      <c r="L71" s="1" t="s">
        <v>22</v>
      </c>
    </row>
    <row r="72" spans="1:12" ht="15.6" x14ac:dyDescent="0.3">
      <c r="A72" s="1" t="s">
        <v>374</v>
      </c>
      <c r="B72" s="1" t="s">
        <v>375</v>
      </c>
      <c r="C72" s="1" t="s">
        <v>198</v>
      </c>
      <c r="D72" s="1" t="s">
        <v>199</v>
      </c>
      <c r="E72" s="1" t="s">
        <v>84</v>
      </c>
      <c r="F72" s="1" t="s">
        <v>184</v>
      </c>
      <c r="G72" s="1" t="s">
        <v>185</v>
      </c>
      <c r="H72" s="1" t="s">
        <v>19</v>
      </c>
      <c r="I72" s="1" t="s">
        <v>72</v>
      </c>
      <c r="J72" s="1" t="s">
        <v>30</v>
      </c>
      <c r="K72" s="1" t="s">
        <v>21</v>
      </c>
      <c r="L72" s="1" t="s">
        <v>22</v>
      </c>
    </row>
    <row r="73" spans="1:12" ht="15.6" x14ac:dyDescent="0.3">
      <c r="A73" s="1" t="s">
        <v>376</v>
      </c>
      <c r="B73" s="1" t="s">
        <v>377</v>
      </c>
      <c r="C73" s="1" t="s">
        <v>378</v>
      </c>
      <c r="D73" s="1" t="s">
        <v>120</v>
      </c>
      <c r="E73" s="1" t="s">
        <v>54</v>
      </c>
      <c r="F73" s="1" t="s">
        <v>379</v>
      </c>
      <c r="G73" s="1" t="s">
        <v>380</v>
      </c>
      <c r="H73" s="1" t="s">
        <v>19</v>
      </c>
      <c r="I73" s="1" t="s">
        <v>174</v>
      </c>
      <c r="J73" s="1" t="s">
        <v>21</v>
      </c>
      <c r="K73" s="1" t="s">
        <v>21</v>
      </c>
      <c r="L73" s="1" t="s">
        <v>22</v>
      </c>
    </row>
    <row r="74" spans="1:12" ht="15.6" x14ac:dyDescent="0.3">
      <c r="A74" s="1" t="s">
        <v>381</v>
      </c>
      <c r="B74" s="1" t="s">
        <v>382</v>
      </c>
      <c r="C74" s="1" t="s">
        <v>383</v>
      </c>
      <c r="D74" s="1" t="s">
        <v>384</v>
      </c>
      <c r="E74" s="1" t="s">
        <v>183</v>
      </c>
      <c r="F74" s="1" t="s">
        <v>385</v>
      </c>
      <c r="G74" s="1" t="s">
        <v>386</v>
      </c>
      <c r="H74" s="1" t="s">
        <v>19</v>
      </c>
      <c r="I74" s="1" t="s">
        <v>349</v>
      </c>
      <c r="J74" s="1" t="s">
        <v>21</v>
      </c>
      <c r="K74" s="1" t="s">
        <v>21</v>
      </c>
      <c r="L74" s="1" t="s">
        <v>22</v>
      </c>
    </row>
    <row r="75" spans="1:12" ht="15.6" x14ac:dyDescent="0.3">
      <c r="A75" s="1" t="s">
        <v>387</v>
      </c>
      <c r="B75" s="1" t="s">
        <v>388</v>
      </c>
      <c r="C75" s="1" t="s">
        <v>389</v>
      </c>
      <c r="D75" s="1" t="s">
        <v>390</v>
      </c>
      <c r="E75" s="1" t="s">
        <v>102</v>
      </c>
      <c r="F75" s="1" t="s">
        <v>391</v>
      </c>
      <c r="G75" s="1" t="s">
        <v>392</v>
      </c>
      <c r="H75" s="1" t="s">
        <v>19</v>
      </c>
      <c r="I75" s="1" t="s">
        <v>242</v>
      </c>
      <c r="J75" s="1" t="s">
        <v>21</v>
      </c>
      <c r="K75" s="1" t="s">
        <v>40</v>
      </c>
      <c r="L75" s="1" t="s">
        <v>22</v>
      </c>
    </row>
    <row r="76" spans="1:12" ht="15.6" x14ac:dyDescent="0.3">
      <c r="A76" s="1" t="s">
        <v>393</v>
      </c>
      <c r="B76" s="1" t="s">
        <v>394</v>
      </c>
      <c r="C76" s="1" t="s">
        <v>395</v>
      </c>
      <c r="D76" s="1" t="s">
        <v>396</v>
      </c>
      <c r="E76" s="1" t="s">
        <v>397</v>
      </c>
      <c r="F76" s="1" t="s">
        <v>321</v>
      </c>
      <c r="G76" s="1" t="s">
        <v>322</v>
      </c>
      <c r="H76" s="1" t="s">
        <v>19</v>
      </c>
      <c r="I76" s="1" t="s">
        <v>323</v>
      </c>
      <c r="J76" s="1" t="s">
        <v>398</v>
      </c>
      <c r="K76" s="1" t="s">
        <v>21</v>
      </c>
      <c r="L76" s="1" t="s">
        <v>22</v>
      </c>
    </row>
    <row r="77" spans="1:12" ht="15.6" x14ac:dyDescent="0.3">
      <c r="A77" s="1" t="s">
        <v>399</v>
      </c>
      <c r="B77" s="1" t="s">
        <v>400</v>
      </c>
      <c r="C77" s="1" t="s">
        <v>401</v>
      </c>
      <c r="D77" s="1" t="s">
        <v>402</v>
      </c>
      <c r="E77" s="1" t="s">
        <v>102</v>
      </c>
      <c r="F77" s="1" t="s">
        <v>403</v>
      </c>
      <c r="G77" s="1" t="s">
        <v>404</v>
      </c>
      <c r="H77" s="1" t="s">
        <v>19</v>
      </c>
      <c r="I77" s="1" t="s">
        <v>20</v>
      </c>
      <c r="J77" s="1" t="s">
        <v>49</v>
      </c>
      <c r="K77" s="1" t="s">
        <v>21</v>
      </c>
      <c r="L77" s="1" t="s">
        <v>22</v>
      </c>
    </row>
    <row r="78" spans="1:12" ht="15.6" x14ac:dyDescent="0.3">
      <c r="A78" s="1" t="s">
        <v>405</v>
      </c>
      <c r="B78" s="1" t="s">
        <v>406</v>
      </c>
      <c r="C78" s="1" t="s">
        <v>355</v>
      </c>
      <c r="D78" s="1" t="s">
        <v>136</v>
      </c>
      <c r="E78" s="1" t="s">
        <v>37</v>
      </c>
      <c r="F78" s="1" t="s">
        <v>295</v>
      </c>
      <c r="G78" s="1" t="s">
        <v>18</v>
      </c>
      <c r="H78" s="1" t="s">
        <v>19</v>
      </c>
      <c r="I78" s="1" t="s">
        <v>349</v>
      </c>
      <c r="J78" s="1" t="s">
        <v>21</v>
      </c>
      <c r="K78" s="1" t="s">
        <v>40</v>
      </c>
      <c r="L78" s="1" t="s">
        <v>22</v>
      </c>
    </row>
    <row r="79" spans="1:12" ht="15.6" x14ac:dyDescent="0.3">
      <c r="A79" s="1" t="s">
        <v>407</v>
      </c>
      <c r="B79" s="1" t="s">
        <v>408</v>
      </c>
      <c r="C79" s="1" t="s">
        <v>409</v>
      </c>
      <c r="D79" s="1" t="s">
        <v>410</v>
      </c>
      <c r="E79" s="1" t="s">
        <v>276</v>
      </c>
      <c r="F79" s="1" t="s">
        <v>211</v>
      </c>
      <c r="G79" s="1" t="s">
        <v>212</v>
      </c>
      <c r="H79" s="1" t="s">
        <v>19</v>
      </c>
      <c r="I79" s="1" t="s">
        <v>174</v>
      </c>
      <c r="J79" s="1" t="s">
        <v>49</v>
      </c>
      <c r="K79" s="1" t="s">
        <v>40</v>
      </c>
      <c r="L79" s="1" t="s">
        <v>22</v>
      </c>
    </row>
    <row r="80" spans="1:12" ht="15.6" x14ac:dyDescent="0.3">
      <c r="A80" s="1" t="s">
        <v>411</v>
      </c>
      <c r="B80" s="1" t="s">
        <v>412</v>
      </c>
      <c r="C80" s="1" t="s">
        <v>413</v>
      </c>
      <c r="D80" s="1" t="s">
        <v>414</v>
      </c>
      <c r="E80" s="1" t="s">
        <v>84</v>
      </c>
      <c r="F80" s="1" t="s">
        <v>28</v>
      </c>
      <c r="G80" s="1" t="s">
        <v>29</v>
      </c>
      <c r="H80" s="1" t="s">
        <v>19</v>
      </c>
      <c r="I80" s="1" t="s">
        <v>20</v>
      </c>
      <c r="J80" s="1" t="s">
        <v>30</v>
      </c>
      <c r="K80" s="1" t="s">
        <v>21</v>
      </c>
      <c r="L80" s="1" t="s">
        <v>22</v>
      </c>
    </row>
    <row r="81" spans="1:12" ht="15.6" x14ac:dyDescent="0.3">
      <c r="A81" s="1" t="s">
        <v>415</v>
      </c>
      <c r="B81" s="1" t="s">
        <v>416</v>
      </c>
      <c r="C81" s="1" t="s">
        <v>417</v>
      </c>
      <c r="D81" s="1" t="s">
        <v>76</v>
      </c>
      <c r="E81" s="1" t="s">
        <v>77</v>
      </c>
      <c r="F81" s="1" t="s">
        <v>418</v>
      </c>
      <c r="G81" s="1" t="s">
        <v>419</v>
      </c>
      <c r="H81" s="1" t="s">
        <v>19</v>
      </c>
      <c r="I81" s="1" t="s">
        <v>242</v>
      </c>
      <c r="J81" s="1" t="s">
        <v>49</v>
      </c>
      <c r="K81" s="1" t="s">
        <v>21</v>
      </c>
      <c r="L81" s="1" t="s">
        <v>22</v>
      </c>
    </row>
    <row r="82" spans="1:12" ht="15.6" x14ac:dyDescent="0.3">
      <c r="A82" s="1" t="s">
        <v>420</v>
      </c>
      <c r="B82" s="1" t="s">
        <v>421</v>
      </c>
      <c r="C82" s="1" t="s">
        <v>422</v>
      </c>
      <c r="D82" s="1" t="s">
        <v>136</v>
      </c>
      <c r="E82" s="1" t="s">
        <v>37</v>
      </c>
      <c r="F82" s="1" t="s">
        <v>234</v>
      </c>
      <c r="G82" s="1" t="s">
        <v>235</v>
      </c>
      <c r="H82" s="1" t="s">
        <v>19</v>
      </c>
      <c r="I82" s="1" t="s">
        <v>72</v>
      </c>
      <c r="J82" s="1" t="s">
        <v>49</v>
      </c>
      <c r="K82" s="1" t="s">
        <v>21</v>
      </c>
      <c r="L82" s="1" t="s">
        <v>22</v>
      </c>
    </row>
    <row r="83" spans="1:12" ht="15.6" x14ac:dyDescent="0.3">
      <c r="A83" s="1" t="s">
        <v>423</v>
      </c>
      <c r="B83" s="1" t="s">
        <v>424</v>
      </c>
      <c r="C83" s="1" t="s">
        <v>425</v>
      </c>
      <c r="D83" s="1" t="s">
        <v>120</v>
      </c>
      <c r="E83" s="1" t="s">
        <v>54</v>
      </c>
      <c r="F83" s="1" t="s">
        <v>426</v>
      </c>
      <c r="G83" s="1" t="s">
        <v>427</v>
      </c>
      <c r="H83" s="1" t="s">
        <v>19</v>
      </c>
      <c r="I83" s="1" t="s">
        <v>72</v>
      </c>
      <c r="J83" s="1" t="s">
        <v>213</v>
      </c>
      <c r="K83" s="1" t="s">
        <v>21</v>
      </c>
      <c r="L83" s="1" t="s">
        <v>22</v>
      </c>
    </row>
    <row r="84" spans="1:12" ht="15.6" x14ac:dyDescent="0.3">
      <c r="A84" s="1" t="s">
        <v>428</v>
      </c>
      <c r="B84" s="1" t="s">
        <v>429</v>
      </c>
      <c r="C84" s="1" t="s">
        <v>316</v>
      </c>
      <c r="D84" s="1" t="s">
        <v>44</v>
      </c>
      <c r="E84" s="1" t="s">
        <v>45</v>
      </c>
      <c r="F84" s="1" t="s">
        <v>200</v>
      </c>
      <c r="G84" s="1" t="s">
        <v>201</v>
      </c>
      <c r="H84" s="1" t="s">
        <v>19</v>
      </c>
      <c r="I84" s="1" t="s">
        <v>72</v>
      </c>
      <c r="J84" s="1" t="s">
        <v>49</v>
      </c>
      <c r="K84" s="1" t="s">
        <v>21</v>
      </c>
      <c r="L84" s="1" t="s">
        <v>22</v>
      </c>
    </row>
    <row r="85" spans="1:12" ht="15.6" x14ac:dyDescent="0.3">
      <c r="A85" s="1" t="s">
        <v>430</v>
      </c>
      <c r="B85" s="1" t="s">
        <v>431</v>
      </c>
      <c r="C85" s="1" t="s">
        <v>432</v>
      </c>
      <c r="D85" s="1" t="s">
        <v>76</v>
      </c>
      <c r="E85" s="1" t="s">
        <v>77</v>
      </c>
      <c r="F85" s="1" t="s">
        <v>433</v>
      </c>
      <c r="G85" s="1" t="s">
        <v>434</v>
      </c>
      <c r="H85" s="1" t="s">
        <v>19</v>
      </c>
      <c r="I85" s="1" t="s">
        <v>242</v>
      </c>
      <c r="J85" s="1" t="s">
        <v>92</v>
      </c>
      <c r="K85" s="1" t="s">
        <v>21</v>
      </c>
      <c r="L85" s="1" t="s">
        <v>22</v>
      </c>
    </row>
    <row r="86" spans="1:12" ht="15.6" x14ac:dyDescent="0.3">
      <c r="A86" s="1" t="s">
        <v>435</v>
      </c>
      <c r="B86" s="1" t="s">
        <v>436</v>
      </c>
      <c r="C86" s="1" t="s">
        <v>130</v>
      </c>
      <c r="D86" s="1" t="s">
        <v>44</v>
      </c>
      <c r="E86" s="1" t="s">
        <v>45</v>
      </c>
      <c r="F86" s="1" t="s">
        <v>131</v>
      </c>
      <c r="G86" s="1" t="s">
        <v>132</v>
      </c>
      <c r="H86" s="1" t="s">
        <v>19</v>
      </c>
      <c r="I86" s="1" t="s">
        <v>20</v>
      </c>
      <c r="J86" s="1" t="s">
        <v>49</v>
      </c>
      <c r="K86" s="1" t="s">
        <v>21</v>
      </c>
      <c r="L86" s="1" t="s">
        <v>22</v>
      </c>
    </row>
    <row r="87" spans="1:12" ht="15.6" x14ac:dyDescent="0.3">
      <c r="A87" s="1" t="s">
        <v>437</v>
      </c>
      <c r="B87" s="1" t="s">
        <v>438</v>
      </c>
      <c r="C87" s="1" t="s">
        <v>439</v>
      </c>
      <c r="D87" s="1" t="s">
        <v>402</v>
      </c>
      <c r="E87" s="1" t="s">
        <v>102</v>
      </c>
      <c r="F87" s="1" t="s">
        <v>440</v>
      </c>
      <c r="G87" s="1" t="s">
        <v>441</v>
      </c>
      <c r="H87" s="1" t="s">
        <v>19</v>
      </c>
      <c r="I87" s="1" t="s">
        <v>174</v>
      </c>
      <c r="J87" s="1" t="s">
        <v>127</v>
      </c>
      <c r="K87" s="1" t="s">
        <v>40</v>
      </c>
      <c r="L87" s="1" t="s">
        <v>22</v>
      </c>
    </row>
    <row r="88" spans="1:12" ht="15.6" x14ac:dyDescent="0.3">
      <c r="A88" s="1" t="s">
        <v>442</v>
      </c>
      <c r="B88" s="1" t="s">
        <v>443</v>
      </c>
      <c r="C88" s="1" t="s">
        <v>444</v>
      </c>
      <c r="D88" s="1" t="s">
        <v>257</v>
      </c>
      <c r="E88" s="1" t="s">
        <v>45</v>
      </c>
      <c r="F88" s="1" t="s">
        <v>28</v>
      </c>
      <c r="G88" s="1" t="s">
        <v>29</v>
      </c>
      <c r="H88" s="1" t="s">
        <v>445</v>
      </c>
      <c r="I88" s="1" t="s">
        <v>446</v>
      </c>
      <c r="J88" s="1" t="s">
        <v>49</v>
      </c>
      <c r="K88" s="1" t="s">
        <v>21</v>
      </c>
      <c r="L88" s="1" t="s">
        <v>22</v>
      </c>
    </row>
    <row r="89" spans="1:12" ht="15.6" x14ac:dyDescent="0.3">
      <c r="A89" s="1" t="s">
        <v>447</v>
      </c>
      <c r="B89" s="1" t="s">
        <v>448</v>
      </c>
      <c r="C89" s="1" t="s">
        <v>352</v>
      </c>
      <c r="D89" s="1" t="s">
        <v>449</v>
      </c>
      <c r="E89" s="1" t="s">
        <v>62</v>
      </c>
      <c r="F89" s="1" t="s">
        <v>379</v>
      </c>
      <c r="G89" s="1" t="s">
        <v>380</v>
      </c>
      <c r="H89" s="1" t="s">
        <v>19</v>
      </c>
      <c r="I89" s="1" t="s">
        <v>21</v>
      </c>
      <c r="J89" s="1" t="s">
        <v>49</v>
      </c>
      <c r="K89" s="1" t="s">
        <v>21</v>
      </c>
      <c r="L89" s="1" t="s">
        <v>22</v>
      </c>
    </row>
    <row r="90" spans="1:12" ht="15.6" x14ac:dyDescent="0.3">
      <c r="A90" s="1" t="s">
        <v>450</v>
      </c>
      <c r="B90" s="1" t="s">
        <v>451</v>
      </c>
      <c r="C90" s="1" t="s">
        <v>452</v>
      </c>
      <c r="D90" s="1" t="s">
        <v>453</v>
      </c>
      <c r="E90" s="1" t="s">
        <v>276</v>
      </c>
      <c r="F90" s="1" t="s">
        <v>70</v>
      </c>
      <c r="G90" s="1" t="s">
        <v>71</v>
      </c>
      <c r="H90" s="1" t="s">
        <v>19</v>
      </c>
      <c r="I90" s="1" t="s">
        <v>72</v>
      </c>
      <c r="J90" s="1" t="s">
        <v>398</v>
      </c>
      <c r="K90" s="1" t="s">
        <v>21</v>
      </c>
      <c r="L90" s="1" t="s">
        <v>22</v>
      </c>
    </row>
    <row r="91" spans="1:12" ht="15.6" x14ac:dyDescent="0.3">
      <c r="A91" s="1" t="s">
        <v>454</v>
      </c>
      <c r="B91" s="1" t="s">
        <v>455</v>
      </c>
      <c r="C91" s="1" t="s">
        <v>456</v>
      </c>
      <c r="D91" s="1" t="s">
        <v>402</v>
      </c>
      <c r="E91" s="1" t="s">
        <v>102</v>
      </c>
      <c r="F91" s="1" t="s">
        <v>457</v>
      </c>
      <c r="G91" s="1" t="s">
        <v>458</v>
      </c>
      <c r="H91" s="1" t="s">
        <v>19</v>
      </c>
      <c r="I91" s="1" t="s">
        <v>20</v>
      </c>
      <c r="J91" s="1" t="s">
        <v>21</v>
      </c>
      <c r="K91" s="1" t="s">
        <v>21</v>
      </c>
      <c r="L91" s="1" t="s">
        <v>22</v>
      </c>
    </row>
    <row r="92" spans="1:12" ht="15.6" x14ac:dyDescent="0.3">
      <c r="A92" s="1" t="s">
        <v>459</v>
      </c>
      <c r="B92" s="1" t="s">
        <v>460</v>
      </c>
      <c r="C92" s="1" t="s">
        <v>461</v>
      </c>
      <c r="D92" s="1" t="s">
        <v>320</v>
      </c>
      <c r="E92" s="1" t="s">
        <v>247</v>
      </c>
      <c r="F92" s="1" t="s">
        <v>462</v>
      </c>
      <c r="G92" s="1" t="s">
        <v>463</v>
      </c>
      <c r="H92" s="1" t="s">
        <v>19</v>
      </c>
      <c r="I92" s="1" t="s">
        <v>48</v>
      </c>
      <c r="J92" s="1" t="s">
        <v>21</v>
      </c>
      <c r="K92" s="1" t="s">
        <v>40</v>
      </c>
      <c r="L92" s="1" t="s">
        <v>22</v>
      </c>
    </row>
    <row r="93" spans="1:12" ht="15.6" x14ac:dyDescent="0.3">
      <c r="A93" s="1" t="s">
        <v>464</v>
      </c>
      <c r="B93" s="1" t="s">
        <v>465</v>
      </c>
      <c r="C93" s="1" t="s">
        <v>466</v>
      </c>
      <c r="D93" s="1" t="s">
        <v>156</v>
      </c>
      <c r="E93" s="1" t="s">
        <v>91</v>
      </c>
      <c r="F93" s="1" t="s">
        <v>184</v>
      </c>
      <c r="G93" s="1" t="s">
        <v>185</v>
      </c>
      <c r="H93" s="1" t="s">
        <v>19</v>
      </c>
      <c r="I93" s="1" t="s">
        <v>72</v>
      </c>
      <c r="J93" s="1" t="s">
        <v>49</v>
      </c>
      <c r="K93" s="1" t="s">
        <v>21</v>
      </c>
      <c r="L93" s="1" t="s">
        <v>22</v>
      </c>
    </row>
    <row r="94" spans="1:12" ht="15.6" x14ac:dyDescent="0.3">
      <c r="A94" s="1" t="s">
        <v>467</v>
      </c>
      <c r="B94" s="1" t="s">
        <v>468</v>
      </c>
      <c r="C94" s="1" t="s">
        <v>469</v>
      </c>
      <c r="D94" s="1" t="s">
        <v>266</v>
      </c>
      <c r="E94" s="1" t="s">
        <v>262</v>
      </c>
      <c r="F94" s="1" t="s">
        <v>63</v>
      </c>
      <c r="G94" s="1" t="s">
        <v>64</v>
      </c>
      <c r="H94" s="1" t="s">
        <v>19</v>
      </c>
      <c r="I94" s="1" t="s">
        <v>126</v>
      </c>
      <c r="J94" s="1" t="s">
        <v>30</v>
      </c>
      <c r="K94" s="1" t="s">
        <v>40</v>
      </c>
      <c r="L94" s="1" t="s">
        <v>22</v>
      </c>
    </row>
    <row r="95" spans="1:12" ht="15.6" x14ac:dyDescent="0.3">
      <c r="A95" s="1" t="s">
        <v>470</v>
      </c>
      <c r="B95" s="1" t="s">
        <v>471</v>
      </c>
      <c r="C95" s="1" t="s">
        <v>472</v>
      </c>
      <c r="D95" s="1" t="s">
        <v>44</v>
      </c>
      <c r="E95" s="1" t="s">
        <v>45</v>
      </c>
      <c r="F95" s="1" t="s">
        <v>137</v>
      </c>
      <c r="G95" s="1" t="s">
        <v>138</v>
      </c>
      <c r="H95" s="1" t="s">
        <v>19</v>
      </c>
      <c r="I95" s="1" t="s">
        <v>72</v>
      </c>
      <c r="J95" s="1" t="s">
        <v>21</v>
      </c>
      <c r="K95" s="1" t="s">
        <v>21</v>
      </c>
      <c r="L95" s="1" t="s">
        <v>22</v>
      </c>
    </row>
    <row r="96" spans="1:12" ht="15.6" x14ac:dyDescent="0.3">
      <c r="A96" s="1" t="s">
        <v>473</v>
      </c>
      <c r="B96" s="1" t="s">
        <v>474</v>
      </c>
      <c r="C96" s="1" t="s">
        <v>422</v>
      </c>
      <c r="D96" s="1" t="s">
        <v>136</v>
      </c>
      <c r="E96" s="1" t="s">
        <v>37</v>
      </c>
      <c r="F96" s="1" t="s">
        <v>426</v>
      </c>
      <c r="G96" s="1" t="s">
        <v>427</v>
      </c>
      <c r="H96" s="1" t="s">
        <v>19</v>
      </c>
      <c r="I96" s="1" t="s">
        <v>72</v>
      </c>
      <c r="J96" s="1" t="s">
        <v>49</v>
      </c>
      <c r="K96" s="1" t="s">
        <v>21</v>
      </c>
      <c r="L96" s="1" t="s">
        <v>22</v>
      </c>
    </row>
    <row r="97" spans="1:12" ht="15.6" x14ac:dyDescent="0.3">
      <c r="A97" s="1" t="s">
        <v>475</v>
      </c>
      <c r="B97" s="1" t="s">
        <v>476</v>
      </c>
      <c r="C97" s="1" t="s">
        <v>477</v>
      </c>
      <c r="D97" s="1" t="s">
        <v>246</v>
      </c>
      <c r="E97" s="1" t="s">
        <v>247</v>
      </c>
      <c r="F97" s="1" t="s">
        <v>17</v>
      </c>
      <c r="G97" s="1" t="s">
        <v>18</v>
      </c>
      <c r="H97" s="1" t="s">
        <v>19</v>
      </c>
      <c r="I97" s="1" t="s">
        <v>20</v>
      </c>
      <c r="J97" s="1" t="s">
        <v>49</v>
      </c>
      <c r="K97" s="1" t="s">
        <v>21</v>
      </c>
      <c r="L97" s="1" t="s">
        <v>22</v>
      </c>
    </row>
    <row r="98" spans="1:12" ht="15.6" x14ac:dyDescent="0.3">
      <c r="A98" s="1" t="s">
        <v>478</v>
      </c>
      <c r="B98" s="1" t="s">
        <v>479</v>
      </c>
      <c r="C98" s="1" t="s">
        <v>480</v>
      </c>
      <c r="D98" s="1" t="s">
        <v>481</v>
      </c>
      <c r="E98" s="1" t="s">
        <v>62</v>
      </c>
      <c r="F98" s="1" t="s">
        <v>184</v>
      </c>
      <c r="G98" s="1" t="s">
        <v>185</v>
      </c>
      <c r="H98" s="1" t="s">
        <v>19</v>
      </c>
      <c r="I98" s="1" t="s">
        <v>21</v>
      </c>
      <c r="J98" s="1" t="s">
        <v>49</v>
      </c>
      <c r="K98" s="1" t="s">
        <v>21</v>
      </c>
      <c r="L98" s="1" t="s">
        <v>22</v>
      </c>
    </row>
    <row r="99" spans="1:12" ht="15.6" x14ac:dyDescent="0.3">
      <c r="A99" s="1" t="s">
        <v>482</v>
      </c>
      <c r="B99" s="1" t="s">
        <v>483</v>
      </c>
      <c r="C99" s="1" t="s">
        <v>155</v>
      </c>
      <c r="D99" s="1" t="s">
        <v>156</v>
      </c>
      <c r="E99" s="1" t="s">
        <v>91</v>
      </c>
      <c r="F99" s="1" t="s">
        <v>28</v>
      </c>
      <c r="G99" s="1" t="s">
        <v>29</v>
      </c>
      <c r="H99" s="1" t="s">
        <v>484</v>
      </c>
      <c r="I99" s="1" t="s">
        <v>485</v>
      </c>
      <c r="J99" s="1" t="s">
        <v>49</v>
      </c>
      <c r="K99" s="1" t="s">
        <v>21</v>
      </c>
      <c r="L99" s="1" t="s">
        <v>22</v>
      </c>
    </row>
    <row r="100" spans="1:12" ht="15.6" x14ac:dyDescent="0.3">
      <c r="A100" s="1" t="s">
        <v>486</v>
      </c>
      <c r="B100" s="1" t="s">
        <v>487</v>
      </c>
      <c r="C100" s="1" t="s">
        <v>488</v>
      </c>
      <c r="D100" s="1" t="s">
        <v>182</v>
      </c>
      <c r="E100" s="1" t="s">
        <v>183</v>
      </c>
      <c r="F100" s="1" t="s">
        <v>418</v>
      </c>
      <c r="G100" s="1" t="s">
        <v>419</v>
      </c>
      <c r="H100" s="1" t="s">
        <v>19</v>
      </c>
      <c r="I100" s="1" t="s">
        <v>242</v>
      </c>
      <c r="J100" s="1" t="s">
        <v>49</v>
      </c>
      <c r="K100" s="1" t="s">
        <v>21</v>
      </c>
      <c r="L100" s="1" t="s">
        <v>22</v>
      </c>
    </row>
    <row r="101" spans="1:12" ht="15.6" x14ac:dyDescent="0.3">
      <c r="A101" s="1" t="s">
        <v>489</v>
      </c>
      <c r="B101" s="1" t="s">
        <v>490</v>
      </c>
      <c r="C101" s="1" t="s">
        <v>491</v>
      </c>
      <c r="D101" s="1" t="s">
        <v>76</v>
      </c>
      <c r="E101" s="1" t="s">
        <v>77</v>
      </c>
      <c r="F101" s="1" t="s">
        <v>234</v>
      </c>
      <c r="G101" s="1" t="s">
        <v>235</v>
      </c>
      <c r="H101" s="1" t="s">
        <v>19</v>
      </c>
      <c r="I101" s="1" t="s">
        <v>72</v>
      </c>
      <c r="J101" s="1" t="s">
        <v>21</v>
      </c>
      <c r="K101" s="1" t="s">
        <v>40</v>
      </c>
      <c r="L101" s="1" t="s">
        <v>22</v>
      </c>
    </row>
    <row r="102" spans="1:12" ht="15.6" x14ac:dyDescent="0.3">
      <c r="A102" s="2" t="s">
        <v>492</v>
      </c>
      <c r="B102" s="2" t="s">
        <v>493</v>
      </c>
      <c r="C102" s="2" t="s">
        <v>494</v>
      </c>
      <c r="D102" s="2" t="s">
        <v>495</v>
      </c>
      <c r="E102" s="2" t="s">
        <v>54</v>
      </c>
      <c r="F102" s="2" t="s">
        <v>496</v>
      </c>
      <c r="G102" s="2" t="s">
        <v>497</v>
      </c>
      <c r="H102" s="2" t="s">
        <v>19</v>
      </c>
      <c r="I102" s="2" t="s">
        <v>20</v>
      </c>
      <c r="J102" s="2" t="s">
        <v>30</v>
      </c>
      <c r="K102" s="2" t="s">
        <v>21</v>
      </c>
      <c r="L102" s="2" t="s">
        <v>22</v>
      </c>
    </row>
    <row r="103" spans="1:12" ht="15.6" x14ac:dyDescent="0.3">
      <c r="A103" s="2" t="s">
        <v>498</v>
      </c>
      <c r="B103" s="2" t="s">
        <v>499</v>
      </c>
      <c r="C103" s="2" t="s">
        <v>500</v>
      </c>
      <c r="D103" s="2" t="s">
        <v>182</v>
      </c>
      <c r="E103" s="2" t="s">
        <v>183</v>
      </c>
      <c r="F103" s="2" t="s">
        <v>391</v>
      </c>
      <c r="G103" s="2" t="s">
        <v>392</v>
      </c>
      <c r="H103" s="2" t="s">
        <v>19</v>
      </c>
      <c r="I103" s="2" t="s">
        <v>242</v>
      </c>
      <c r="J103" s="2" t="s">
        <v>49</v>
      </c>
      <c r="K103" s="2" t="s">
        <v>40</v>
      </c>
      <c r="L103" s="2" t="s">
        <v>22</v>
      </c>
    </row>
    <row r="104" spans="1:12" ht="15.6" x14ac:dyDescent="0.3">
      <c r="A104" s="2" t="s">
        <v>501</v>
      </c>
      <c r="B104" s="2" t="s">
        <v>502</v>
      </c>
      <c r="C104" s="2" t="s">
        <v>503</v>
      </c>
      <c r="D104" s="2" t="s">
        <v>44</v>
      </c>
      <c r="E104" s="2" t="s">
        <v>45</v>
      </c>
      <c r="F104" s="2" t="s">
        <v>379</v>
      </c>
      <c r="G104" s="2" t="s">
        <v>504</v>
      </c>
      <c r="H104" s="2" t="s">
        <v>19</v>
      </c>
      <c r="I104" s="2" t="s">
        <v>505</v>
      </c>
      <c r="J104" s="2" t="s">
        <v>49</v>
      </c>
      <c r="K104" s="2" t="s">
        <v>21</v>
      </c>
      <c r="L104" s="2" t="s">
        <v>22</v>
      </c>
    </row>
    <row r="105" spans="1:12" ht="15.6" x14ac:dyDescent="0.3">
      <c r="A105" s="2" t="s">
        <v>506</v>
      </c>
      <c r="B105" s="2" t="s">
        <v>507</v>
      </c>
      <c r="C105" s="2" t="s">
        <v>508</v>
      </c>
      <c r="D105" s="2" t="s">
        <v>509</v>
      </c>
      <c r="E105" s="2" t="s">
        <v>397</v>
      </c>
      <c r="F105" s="2" t="s">
        <v>28</v>
      </c>
      <c r="G105" s="2" t="s">
        <v>29</v>
      </c>
      <c r="H105" s="2" t="s">
        <v>19</v>
      </c>
      <c r="I105" s="2" t="s">
        <v>20</v>
      </c>
      <c r="J105" s="2" t="s">
        <v>49</v>
      </c>
      <c r="K105" s="2" t="s">
        <v>40</v>
      </c>
      <c r="L105" s="2" t="s">
        <v>22</v>
      </c>
    </row>
    <row r="106" spans="1:12" ht="15.6" x14ac:dyDescent="0.3">
      <c r="A106" s="2" t="s">
        <v>510</v>
      </c>
      <c r="B106" s="2" t="s">
        <v>511</v>
      </c>
      <c r="C106" s="2" t="s">
        <v>512</v>
      </c>
      <c r="D106" s="2" t="s">
        <v>513</v>
      </c>
      <c r="E106" s="2" t="s">
        <v>54</v>
      </c>
      <c r="F106" s="2" t="s">
        <v>63</v>
      </c>
      <c r="G106" s="2" t="s">
        <v>64</v>
      </c>
      <c r="H106" s="2" t="s">
        <v>19</v>
      </c>
      <c r="I106" s="2" t="s">
        <v>126</v>
      </c>
      <c r="J106" s="2" t="s">
        <v>30</v>
      </c>
      <c r="K106" s="2" t="s">
        <v>21</v>
      </c>
      <c r="L106" s="2" t="s">
        <v>22</v>
      </c>
    </row>
    <row r="107" spans="1:12" ht="15.6" x14ac:dyDescent="0.3">
      <c r="A107" s="2" t="s">
        <v>514</v>
      </c>
      <c r="B107" s="2" t="s">
        <v>515</v>
      </c>
      <c r="C107" s="2" t="s">
        <v>516</v>
      </c>
      <c r="D107" s="2" t="s">
        <v>517</v>
      </c>
      <c r="E107" s="2" t="s">
        <v>62</v>
      </c>
      <c r="F107" s="2" t="s">
        <v>518</v>
      </c>
      <c r="G107" s="2" t="s">
        <v>519</v>
      </c>
      <c r="H107" s="2" t="s">
        <v>19</v>
      </c>
      <c r="I107" s="2" t="s">
        <v>72</v>
      </c>
      <c r="J107" s="2" t="s">
        <v>49</v>
      </c>
      <c r="K107" s="2" t="s">
        <v>21</v>
      </c>
      <c r="L107" s="2" t="s">
        <v>22</v>
      </c>
    </row>
    <row r="108" spans="1:12" ht="15.6" x14ac:dyDescent="0.3">
      <c r="A108" s="2" t="s">
        <v>520</v>
      </c>
      <c r="B108" s="2" t="s">
        <v>521</v>
      </c>
      <c r="C108" s="2" t="s">
        <v>522</v>
      </c>
      <c r="D108" s="2" t="s">
        <v>76</v>
      </c>
      <c r="E108" s="2" t="s">
        <v>77</v>
      </c>
      <c r="F108" s="2" t="s">
        <v>131</v>
      </c>
      <c r="G108" s="2" t="s">
        <v>132</v>
      </c>
      <c r="H108" s="2" t="s">
        <v>19</v>
      </c>
      <c r="I108" s="2" t="s">
        <v>21</v>
      </c>
      <c r="J108" s="2" t="s">
        <v>49</v>
      </c>
      <c r="K108" s="2" t="s">
        <v>21</v>
      </c>
      <c r="L108" s="2" t="s">
        <v>22</v>
      </c>
    </row>
    <row r="109" spans="1:12" ht="15.6" x14ac:dyDescent="0.3">
      <c r="A109" s="2" t="s">
        <v>523</v>
      </c>
      <c r="B109" s="2" t="s">
        <v>524</v>
      </c>
      <c r="C109" s="2" t="s">
        <v>525</v>
      </c>
      <c r="D109" s="2" t="s">
        <v>16</v>
      </c>
      <c r="E109" s="2" t="s">
        <v>15</v>
      </c>
      <c r="F109" s="2" t="s">
        <v>234</v>
      </c>
      <c r="G109" s="2" t="s">
        <v>526</v>
      </c>
      <c r="H109" s="2" t="s">
        <v>19</v>
      </c>
      <c r="I109" s="2" t="s">
        <v>527</v>
      </c>
      <c r="J109" s="2" t="s">
        <v>49</v>
      </c>
      <c r="K109" s="2" t="s">
        <v>40</v>
      </c>
      <c r="L109" s="2" t="s">
        <v>22</v>
      </c>
    </row>
    <row r="110" spans="1:12" ht="15.6" x14ac:dyDescent="0.3">
      <c r="A110" s="2" t="s">
        <v>528</v>
      </c>
      <c r="B110" s="2" t="s">
        <v>529</v>
      </c>
      <c r="C110" s="2" t="s">
        <v>530</v>
      </c>
      <c r="D110" s="2" t="s">
        <v>531</v>
      </c>
      <c r="E110" s="2" t="s">
        <v>37</v>
      </c>
      <c r="F110" s="2" t="s">
        <v>289</v>
      </c>
      <c r="G110" s="2" t="s">
        <v>532</v>
      </c>
      <c r="H110" s="2" t="s">
        <v>19</v>
      </c>
      <c r="I110" s="2" t="s">
        <v>72</v>
      </c>
      <c r="J110" s="2" t="s">
        <v>49</v>
      </c>
      <c r="K110" s="2" t="s">
        <v>40</v>
      </c>
      <c r="L110" s="2" t="s">
        <v>22</v>
      </c>
    </row>
    <row r="111" spans="1:12" ht="15.6" x14ac:dyDescent="0.3">
      <c r="A111" s="2" t="s">
        <v>533</v>
      </c>
      <c r="B111" s="2" t="s">
        <v>534</v>
      </c>
      <c r="C111" s="2" t="s">
        <v>535</v>
      </c>
      <c r="D111" s="2" t="s">
        <v>536</v>
      </c>
      <c r="E111" s="2" t="s">
        <v>54</v>
      </c>
      <c r="F111" s="2" t="s">
        <v>537</v>
      </c>
      <c r="G111" s="2" t="s">
        <v>538</v>
      </c>
      <c r="H111" s="2" t="s">
        <v>19</v>
      </c>
      <c r="I111" s="2" t="s">
        <v>323</v>
      </c>
      <c r="J111" s="2" t="s">
        <v>539</v>
      </c>
      <c r="K111" s="2" t="s">
        <v>21</v>
      </c>
      <c r="L111" s="2" t="s">
        <v>22</v>
      </c>
    </row>
    <row r="112" spans="1:12" ht="15.6" x14ac:dyDescent="0.3">
      <c r="A112" s="2" t="s">
        <v>540</v>
      </c>
      <c r="B112" s="2" t="s">
        <v>541</v>
      </c>
      <c r="C112" s="2" t="s">
        <v>542</v>
      </c>
      <c r="D112" s="2" t="s">
        <v>15</v>
      </c>
      <c r="E112" s="2" t="s">
        <v>16</v>
      </c>
      <c r="F112" s="2" t="s">
        <v>17</v>
      </c>
      <c r="G112" s="2" t="s">
        <v>18</v>
      </c>
      <c r="H112" s="2" t="s">
        <v>19</v>
      </c>
      <c r="I112" s="2" t="s">
        <v>20</v>
      </c>
      <c r="J112" s="2" t="s">
        <v>49</v>
      </c>
      <c r="K112" s="2" t="s">
        <v>21</v>
      </c>
      <c r="L112" s="2" t="s">
        <v>22</v>
      </c>
    </row>
    <row r="113" spans="1:12" ht="15.6" x14ac:dyDescent="0.3">
      <c r="A113" s="2" t="s">
        <v>543</v>
      </c>
      <c r="B113" s="2" t="s">
        <v>544</v>
      </c>
      <c r="C113" s="2" t="s">
        <v>545</v>
      </c>
      <c r="D113" s="2" t="s">
        <v>517</v>
      </c>
      <c r="E113" s="2" t="s">
        <v>62</v>
      </c>
      <c r="F113" s="2" t="s">
        <v>321</v>
      </c>
      <c r="G113" s="2" t="s">
        <v>322</v>
      </c>
      <c r="H113" s="2" t="s">
        <v>19</v>
      </c>
      <c r="I113" s="2" t="s">
        <v>323</v>
      </c>
      <c r="J113" s="2" t="s">
        <v>546</v>
      </c>
      <c r="K113" s="2" t="s">
        <v>21</v>
      </c>
      <c r="L113" s="2" t="s">
        <v>22</v>
      </c>
    </row>
    <row r="114" spans="1:12" ht="15.6" x14ac:dyDescent="0.3">
      <c r="A114" s="2" t="s">
        <v>547</v>
      </c>
      <c r="B114" s="2" t="s">
        <v>548</v>
      </c>
      <c r="C114" s="2" t="s">
        <v>549</v>
      </c>
      <c r="D114" s="2" t="s">
        <v>550</v>
      </c>
      <c r="E114" s="2" t="s">
        <v>551</v>
      </c>
      <c r="F114" s="2" t="s">
        <v>552</v>
      </c>
      <c r="G114" s="2" t="s">
        <v>553</v>
      </c>
      <c r="H114" s="2" t="s">
        <v>19</v>
      </c>
      <c r="I114" s="2" t="s">
        <v>242</v>
      </c>
      <c r="J114" s="2" t="s">
        <v>30</v>
      </c>
      <c r="K114" s="2" t="s">
        <v>40</v>
      </c>
      <c r="L114" s="2" t="s">
        <v>22</v>
      </c>
    </row>
    <row r="115" spans="1:12" ht="15.6" x14ac:dyDescent="0.3">
      <c r="A115" s="2" t="s">
        <v>554</v>
      </c>
      <c r="B115" s="2" t="s">
        <v>555</v>
      </c>
      <c r="C115" s="2" t="s">
        <v>556</v>
      </c>
      <c r="D115" s="2" t="s">
        <v>156</v>
      </c>
      <c r="E115" s="2" t="s">
        <v>91</v>
      </c>
      <c r="F115" s="2" t="s">
        <v>234</v>
      </c>
      <c r="G115" s="2" t="s">
        <v>235</v>
      </c>
      <c r="H115" s="2" t="s">
        <v>19</v>
      </c>
      <c r="I115" s="2" t="s">
        <v>72</v>
      </c>
      <c r="J115" s="2" t="s">
        <v>49</v>
      </c>
      <c r="K115" s="2" t="s">
        <v>21</v>
      </c>
      <c r="L115" s="2" t="s">
        <v>22</v>
      </c>
    </row>
    <row r="116" spans="1:12" ht="15.6" x14ac:dyDescent="0.3">
      <c r="A116" s="2" t="s">
        <v>557</v>
      </c>
      <c r="B116" s="2" t="s">
        <v>558</v>
      </c>
      <c r="C116" s="2" t="s">
        <v>559</v>
      </c>
      <c r="D116" s="2" t="s">
        <v>275</v>
      </c>
      <c r="E116" s="2" t="s">
        <v>276</v>
      </c>
      <c r="F116" s="2" t="s">
        <v>560</v>
      </c>
      <c r="G116" s="2" t="s">
        <v>561</v>
      </c>
      <c r="H116" s="2" t="s">
        <v>19</v>
      </c>
      <c r="I116" s="2" t="s">
        <v>21</v>
      </c>
      <c r="J116" s="2" t="s">
        <v>49</v>
      </c>
      <c r="K116" s="2" t="s">
        <v>21</v>
      </c>
      <c r="L116" s="2" t="s">
        <v>65</v>
      </c>
    </row>
    <row r="117" spans="1:12" ht="15.6" x14ac:dyDescent="0.3">
      <c r="A117" s="2" t="s">
        <v>562</v>
      </c>
      <c r="B117" s="2" t="s">
        <v>563</v>
      </c>
      <c r="C117" s="2" t="s">
        <v>564</v>
      </c>
      <c r="D117" s="2" t="s">
        <v>136</v>
      </c>
      <c r="E117" s="2" t="s">
        <v>37</v>
      </c>
      <c r="F117" s="2" t="s">
        <v>17</v>
      </c>
      <c r="G117" s="2" t="s">
        <v>18</v>
      </c>
      <c r="H117" s="2" t="s">
        <v>19</v>
      </c>
      <c r="I117" s="2" t="s">
        <v>21</v>
      </c>
      <c r="J117" s="2" t="s">
        <v>49</v>
      </c>
      <c r="K117" s="2" t="s">
        <v>40</v>
      </c>
      <c r="L117" s="2" t="s">
        <v>22</v>
      </c>
    </row>
    <row r="118" spans="1:12" ht="15.6" x14ac:dyDescent="0.3">
      <c r="A118" s="2" t="s">
        <v>565</v>
      </c>
      <c r="B118" s="2" t="s">
        <v>566</v>
      </c>
      <c r="C118" s="2" t="s">
        <v>567</v>
      </c>
      <c r="D118" s="2" t="s">
        <v>568</v>
      </c>
      <c r="E118" s="2" t="s">
        <v>45</v>
      </c>
      <c r="F118" s="2" t="s">
        <v>321</v>
      </c>
      <c r="G118" s="2" t="s">
        <v>322</v>
      </c>
      <c r="H118" s="2" t="s">
        <v>19</v>
      </c>
      <c r="I118" s="2" t="s">
        <v>323</v>
      </c>
      <c r="J118" s="2" t="s">
        <v>92</v>
      </c>
      <c r="K118" s="2" t="s">
        <v>40</v>
      </c>
      <c r="L118" s="2" t="s">
        <v>22</v>
      </c>
    </row>
    <row r="119" spans="1:12" ht="15.6" x14ac:dyDescent="0.3">
      <c r="A119" s="2" t="s">
        <v>569</v>
      </c>
      <c r="B119" s="2" t="s">
        <v>570</v>
      </c>
      <c r="C119" s="2" t="s">
        <v>571</v>
      </c>
      <c r="D119" s="2" t="s">
        <v>536</v>
      </c>
      <c r="E119" s="2" t="s">
        <v>54</v>
      </c>
      <c r="F119" s="2" t="s">
        <v>321</v>
      </c>
      <c r="G119" s="2" t="s">
        <v>322</v>
      </c>
      <c r="H119" s="2" t="s">
        <v>484</v>
      </c>
      <c r="I119" s="2" t="s">
        <v>572</v>
      </c>
      <c r="J119" s="2" t="s">
        <v>573</v>
      </c>
      <c r="K119" s="2" t="s">
        <v>21</v>
      </c>
      <c r="L119" s="2" t="s">
        <v>22</v>
      </c>
    </row>
    <row r="120" spans="1:12" ht="15.6" x14ac:dyDescent="0.3">
      <c r="A120" s="2" t="s">
        <v>574</v>
      </c>
      <c r="B120" s="2" t="s">
        <v>575</v>
      </c>
      <c r="C120" s="2" t="s">
        <v>256</v>
      </c>
      <c r="D120" s="2" t="s">
        <v>257</v>
      </c>
      <c r="E120" s="2" t="s">
        <v>45</v>
      </c>
      <c r="F120" s="2" t="s">
        <v>28</v>
      </c>
      <c r="G120" s="2" t="s">
        <v>29</v>
      </c>
      <c r="H120" s="2" t="s">
        <v>19</v>
      </c>
      <c r="I120" s="2" t="s">
        <v>20</v>
      </c>
      <c r="J120" s="2" t="s">
        <v>49</v>
      </c>
      <c r="K120" s="2" t="s">
        <v>21</v>
      </c>
      <c r="L120" s="2" t="s">
        <v>22</v>
      </c>
    </row>
    <row r="121" spans="1:12" ht="15.6" x14ac:dyDescent="0.3">
      <c r="A121" s="2" t="s">
        <v>576</v>
      </c>
      <c r="B121" s="2" t="s">
        <v>577</v>
      </c>
      <c r="C121" s="2" t="s">
        <v>578</v>
      </c>
      <c r="D121" s="2" t="s">
        <v>579</v>
      </c>
      <c r="E121" s="2" t="s">
        <v>190</v>
      </c>
      <c r="F121" s="2" t="s">
        <v>224</v>
      </c>
      <c r="G121" s="2" t="s">
        <v>225</v>
      </c>
      <c r="H121" s="2" t="s">
        <v>19</v>
      </c>
      <c r="I121" s="2" t="s">
        <v>20</v>
      </c>
      <c r="J121" s="2" t="s">
        <v>49</v>
      </c>
      <c r="K121" s="2" t="s">
        <v>21</v>
      </c>
      <c r="L121" s="2" t="s">
        <v>22</v>
      </c>
    </row>
    <row r="122" spans="1:12" ht="15.6" x14ac:dyDescent="0.3">
      <c r="A122" s="2" t="s">
        <v>580</v>
      </c>
      <c r="B122" s="2" t="s">
        <v>581</v>
      </c>
      <c r="C122" s="2" t="s">
        <v>582</v>
      </c>
      <c r="D122" s="2" t="s">
        <v>583</v>
      </c>
      <c r="E122" s="2" t="s">
        <v>102</v>
      </c>
      <c r="F122" s="2" t="s">
        <v>584</v>
      </c>
      <c r="G122" s="2" t="s">
        <v>585</v>
      </c>
      <c r="H122" s="2" t="s">
        <v>19</v>
      </c>
      <c r="I122" s="2" t="s">
        <v>586</v>
      </c>
      <c r="J122" s="2" t="s">
        <v>92</v>
      </c>
      <c r="K122" s="2" t="s">
        <v>21</v>
      </c>
      <c r="L122" s="2" t="s">
        <v>22</v>
      </c>
    </row>
    <row r="123" spans="1:12" ht="15.6" x14ac:dyDescent="0.3">
      <c r="A123" s="2" t="s">
        <v>587</v>
      </c>
      <c r="B123" s="2" t="s">
        <v>588</v>
      </c>
      <c r="C123" s="2" t="s">
        <v>571</v>
      </c>
      <c r="D123" s="2" t="s">
        <v>402</v>
      </c>
      <c r="E123" s="2" t="s">
        <v>102</v>
      </c>
      <c r="F123" s="2" t="s">
        <v>321</v>
      </c>
      <c r="G123" s="2" t="s">
        <v>322</v>
      </c>
      <c r="H123" s="2" t="s">
        <v>484</v>
      </c>
      <c r="I123" s="2" t="s">
        <v>572</v>
      </c>
      <c r="J123" s="2" t="s">
        <v>589</v>
      </c>
      <c r="K123" s="2" t="s">
        <v>21</v>
      </c>
      <c r="L123" s="2" t="s">
        <v>22</v>
      </c>
    </row>
    <row r="124" spans="1:12" ht="15.6" x14ac:dyDescent="0.3">
      <c r="A124" s="2" t="s">
        <v>590</v>
      </c>
      <c r="B124" s="2" t="s">
        <v>591</v>
      </c>
      <c r="C124" s="2" t="s">
        <v>308</v>
      </c>
      <c r="D124" s="2" t="s">
        <v>592</v>
      </c>
      <c r="E124" s="2" t="s">
        <v>45</v>
      </c>
      <c r="F124" s="2" t="s">
        <v>593</v>
      </c>
      <c r="G124" s="2" t="s">
        <v>594</v>
      </c>
      <c r="H124" s="2" t="s">
        <v>19</v>
      </c>
      <c r="I124" s="2" t="s">
        <v>349</v>
      </c>
      <c r="J124" s="2" t="s">
        <v>49</v>
      </c>
      <c r="K124" s="2" t="s">
        <v>21</v>
      </c>
      <c r="L124" s="2" t="s">
        <v>22</v>
      </c>
    </row>
    <row r="125" spans="1:12" ht="15.6" x14ac:dyDescent="0.3">
      <c r="A125" s="2" t="s">
        <v>595</v>
      </c>
      <c r="B125" s="2" t="s">
        <v>596</v>
      </c>
      <c r="C125" s="2" t="s">
        <v>597</v>
      </c>
      <c r="D125" s="2" t="s">
        <v>136</v>
      </c>
      <c r="E125" s="2" t="s">
        <v>37</v>
      </c>
      <c r="F125" s="2" t="s">
        <v>598</v>
      </c>
      <c r="G125" s="2" t="s">
        <v>599</v>
      </c>
      <c r="H125" s="2" t="s">
        <v>19</v>
      </c>
      <c r="I125" s="2" t="s">
        <v>20</v>
      </c>
      <c r="J125" s="2" t="s">
        <v>49</v>
      </c>
      <c r="K125" s="2" t="s">
        <v>21</v>
      </c>
      <c r="L125" s="2" t="s">
        <v>22</v>
      </c>
    </row>
    <row r="126" spans="1:12" ht="15.6" x14ac:dyDescent="0.3">
      <c r="A126" s="2" t="s">
        <v>600</v>
      </c>
      <c r="B126" s="2" t="s">
        <v>601</v>
      </c>
      <c r="C126" s="2" t="s">
        <v>602</v>
      </c>
      <c r="D126" s="2" t="s">
        <v>603</v>
      </c>
      <c r="E126" s="2" t="s">
        <v>763</v>
      </c>
      <c r="F126" s="2" t="s">
        <v>224</v>
      </c>
      <c r="G126" s="2" t="s">
        <v>225</v>
      </c>
      <c r="H126" s="2" t="s">
        <v>19</v>
      </c>
      <c r="I126" s="2" t="s">
        <v>20</v>
      </c>
      <c r="J126" s="2" t="s">
        <v>49</v>
      </c>
      <c r="K126" s="2" t="s">
        <v>21</v>
      </c>
      <c r="L126" s="2" t="s">
        <v>22</v>
      </c>
    </row>
    <row r="127" spans="1:12" ht="15.6" x14ac:dyDescent="0.3">
      <c r="A127" s="2" t="s">
        <v>604</v>
      </c>
      <c r="B127" s="2" t="s">
        <v>605</v>
      </c>
      <c r="C127" s="2" t="s">
        <v>606</v>
      </c>
      <c r="D127" s="2" t="s">
        <v>607</v>
      </c>
      <c r="E127" s="2" t="s">
        <v>173</v>
      </c>
      <c r="F127" s="2" t="s">
        <v>289</v>
      </c>
      <c r="G127" s="2" t="s">
        <v>290</v>
      </c>
      <c r="H127" s="2" t="s">
        <v>19</v>
      </c>
      <c r="I127" s="2" t="s">
        <v>72</v>
      </c>
      <c r="J127" s="2" t="s">
        <v>49</v>
      </c>
      <c r="K127" s="2" t="s">
        <v>21</v>
      </c>
      <c r="L127" s="2" t="s">
        <v>22</v>
      </c>
    </row>
    <row r="128" spans="1:12" ht="15.6" x14ac:dyDescent="0.3">
      <c r="A128" s="2" t="s">
        <v>608</v>
      </c>
      <c r="B128" s="2" t="s">
        <v>609</v>
      </c>
      <c r="C128" s="2" t="s">
        <v>610</v>
      </c>
      <c r="D128" s="2" t="s">
        <v>76</v>
      </c>
      <c r="E128" s="2" t="s">
        <v>77</v>
      </c>
      <c r="F128" s="2" t="s">
        <v>593</v>
      </c>
      <c r="G128" s="2" t="s">
        <v>594</v>
      </c>
      <c r="H128" s="2" t="s">
        <v>19</v>
      </c>
      <c r="I128" s="2" t="s">
        <v>349</v>
      </c>
      <c r="J128" s="2" t="s">
        <v>49</v>
      </c>
      <c r="K128" s="2" t="s">
        <v>21</v>
      </c>
      <c r="L128" s="2" t="s">
        <v>22</v>
      </c>
    </row>
    <row r="129" spans="1:12" ht="15.6" x14ac:dyDescent="0.3">
      <c r="A129" s="2" t="s">
        <v>611</v>
      </c>
      <c r="B129" s="2" t="s">
        <v>612</v>
      </c>
      <c r="C129" s="2" t="s">
        <v>107</v>
      </c>
      <c r="D129" s="2" t="s">
        <v>182</v>
      </c>
      <c r="E129" s="2" t="s">
        <v>183</v>
      </c>
      <c r="F129" s="2" t="s">
        <v>103</v>
      </c>
      <c r="G129" s="2" t="s">
        <v>104</v>
      </c>
      <c r="H129" s="2" t="s">
        <v>19</v>
      </c>
      <c r="I129" s="2" t="s">
        <v>20</v>
      </c>
      <c r="J129" s="2" t="s">
        <v>49</v>
      </c>
      <c r="K129" s="2" t="s">
        <v>21</v>
      </c>
      <c r="L129" s="2" t="s">
        <v>22</v>
      </c>
    </row>
    <row r="130" spans="1:12" ht="15.6" x14ac:dyDescent="0.3">
      <c r="A130" s="2" t="s">
        <v>613</v>
      </c>
      <c r="B130" s="2" t="s">
        <v>614</v>
      </c>
      <c r="C130" s="2" t="s">
        <v>615</v>
      </c>
      <c r="D130" s="2" t="s">
        <v>76</v>
      </c>
      <c r="E130" s="2" t="s">
        <v>77</v>
      </c>
      <c r="F130" s="2" t="s">
        <v>616</v>
      </c>
      <c r="G130" s="2" t="s">
        <v>617</v>
      </c>
      <c r="H130" s="2" t="s">
        <v>19</v>
      </c>
      <c r="I130" s="2" t="s">
        <v>618</v>
      </c>
      <c r="J130" s="2" t="s">
        <v>92</v>
      </c>
      <c r="K130" s="2" t="s">
        <v>21</v>
      </c>
      <c r="L130" s="2" t="s">
        <v>22</v>
      </c>
    </row>
    <row r="131" spans="1:12" ht="15.6" x14ac:dyDescent="0.3">
      <c r="A131" s="2" t="s">
        <v>619</v>
      </c>
      <c r="B131" s="2" t="s">
        <v>620</v>
      </c>
      <c r="C131" s="2" t="s">
        <v>219</v>
      </c>
      <c r="D131" s="2" t="s">
        <v>220</v>
      </c>
      <c r="E131" s="2" t="s">
        <v>102</v>
      </c>
      <c r="F131" s="2" t="s">
        <v>78</v>
      </c>
      <c r="G131" s="2" t="s">
        <v>621</v>
      </c>
      <c r="H131" s="2" t="s">
        <v>19</v>
      </c>
      <c r="I131" s="2" t="s">
        <v>527</v>
      </c>
      <c r="J131" s="2" t="s">
        <v>49</v>
      </c>
      <c r="K131" s="2" t="s">
        <v>21</v>
      </c>
      <c r="L131" s="2" t="s">
        <v>22</v>
      </c>
    </row>
    <row r="132" spans="1:12" ht="15.6" x14ac:dyDescent="0.3">
      <c r="A132" s="2" t="s">
        <v>622</v>
      </c>
      <c r="B132" s="2" t="s">
        <v>623</v>
      </c>
      <c r="C132" s="2" t="s">
        <v>494</v>
      </c>
      <c r="D132" s="2" t="s">
        <v>76</v>
      </c>
      <c r="E132" s="2" t="s">
        <v>77</v>
      </c>
      <c r="F132" s="2" t="s">
        <v>433</v>
      </c>
      <c r="G132" s="2" t="s">
        <v>434</v>
      </c>
      <c r="H132" s="2" t="s">
        <v>19</v>
      </c>
      <c r="I132" s="2" t="s">
        <v>242</v>
      </c>
      <c r="J132" s="2" t="s">
        <v>49</v>
      </c>
      <c r="K132" s="2" t="s">
        <v>21</v>
      </c>
      <c r="L132" s="2" t="s">
        <v>22</v>
      </c>
    </row>
    <row r="133" spans="1:12" ht="15.6" x14ac:dyDescent="0.3">
      <c r="A133" s="2" t="s">
        <v>624</v>
      </c>
      <c r="B133" s="2" t="s">
        <v>625</v>
      </c>
      <c r="C133" s="2" t="s">
        <v>155</v>
      </c>
      <c r="D133" s="2" t="s">
        <v>156</v>
      </c>
      <c r="E133" s="2" t="s">
        <v>91</v>
      </c>
      <c r="F133" s="2" t="s">
        <v>28</v>
      </c>
      <c r="G133" s="2" t="s">
        <v>29</v>
      </c>
      <c r="H133" s="2" t="s">
        <v>19</v>
      </c>
      <c r="I133" s="2" t="s">
        <v>20</v>
      </c>
      <c r="J133" s="2" t="s">
        <v>49</v>
      </c>
      <c r="K133" s="2" t="s">
        <v>21</v>
      </c>
      <c r="L133" s="2" t="s">
        <v>22</v>
      </c>
    </row>
    <row r="134" spans="1:12" ht="15.6" x14ac:dyDescent="0.3">
      <c r="A134" s="2" t="s">
        <v>626</v>
      </c>
      <c r="B134" s="2" t="s">
        <v>627</v>
      </c>
      <c r="C134" s="2" t="s">
        <v>628</v>
      </c>
      <c r="D134" s="2" t="s">
        <v>402</v>
      </c>
      <c r="E134" s="2" t="s">
        <v>102</v>
      </c>
      <c r="F134" s="2" t="s">
        <v>146</v>
      </c>
      <c r="G134" s="2" t="s">
        <v>147</v>
      </c>
      <c r="H134" s="2" t="s">
        <v>19</v>
      </c>
      <c r="I134" s="2" t="s">
        <v>72</v>
      </c>
      <c r="J134" s="2" t="s">
        <v>49</v>
      </c>
      <c r="K134" s="2" t="s">
        <v>21</v>
      </c>
      <c r="L134" s="2" t="s">
        <v>22</v>
      </c>
    </row>
    <row r="135" spans="1:12" ht="15.6" x14ac:dyDescent="0.3">
      <c r="A135" s="2" t="s">
        <v>629</v>
      </c>
      <c r="B135" s="2" t="s">
        <v>630</v>
      </c>
      <c r="C135" s="2" t="s">
        <v>631</v>
      </c>
      <c r="D135" s="2" t="s">
        <v>632</v>
      </c>
      <c r="E135" s="2" t="s">
        <v>62</v>
      </c>
      <c r="F135" s="2" t="s">
        <v>633</v>
      </c>
      <c r="G135" s="2" t="s">
        <v>458</v>
      </c>
      <c r="H135" s="2" t="s">
        <v>19</v>
      </c>
      <c r="I135" s="2" t="s">
        <v>20</v>
      </c>
      <c r="J135" s="2" t="s">
        <v>49</v>
      </c>
      <c r="K135" s="2" t="s">
        <v>21</v>
      </c>
      <c r="L135" s="2" t="s">
        <v>22</v>
      </c>
    </row>
    <row r="136" spans="1:12" ht="15.6" x14ac:dyDescent="0.3">
      <c r="A136" s="2" t="s">
        <v>634</v>
      </c>
      <c r="B136" s="2" t="s">
        <v>635</v>
      </c>
      <c r="C136" s="2" t="s">
        <v>508</v>
      </c>
      <c r="D136" s="2" t="s">
        <v>509</v>
      </c>
      <c r="E136" s="2" t="s">
        <v>397</v>
      </c>
      <c r="F136" s="2" t="s">
        <v>28</v>
      </c>
      <c r="G136" s="2" t="s">
        <v>29</v>
      </c>
      <c r="H136" s="2" t="s">
        <v>19</v>
      </c>
      <c r="I136" s="2" t="s">
        <v>21</v>
      </c>
      <c r="J136" s="2" t="s">
        <v>49</v>
      </c>
      <c r="K136" s="2" t="s">
        <v>21</v>
      </c>
      <c r="L136" s="2" t="s">
        <v>65</v>
      </c>
    </row>
    <row r="137" spans="1:12" ht="15.6" x14ac:dyDescent="0.3">
      <c r="A137" s="2" t="s">
        <v>636</v>
      </c>
      <c r="B137" s="2" t="s">
        <v>637</v>
      </c>
      <c r="C137" s="2" t="s">
        <v>638</v>
      </c>
      <c r="D137" s="2" t="s">
        <v>44</v>
      </c>
      <c r="E137" s="2" t="s">
        <v>45</v>
      </c>
      <c r="F137" s="2" t="s">
        <v>28</v>
      </c>
      <c r="G137" s="2" t="s">
        <v>29</v>
      </c>
      <c r="H137" s="2" t="s">
        <v>19</v>
      </c>
      <c r="I137" s="2" t="s">
        <v>20</v>
      </c>
      <c r="J137" s="2" t="s">
        <v>49</v>
      </c>
      <c r="K137" s="2" t="s">
        <v>40</v>
      </c>
      <c r="L137" s="2" t="s">
        <v>22</v>
      </c>
    </row>
    <row r="138" spans="1:12" ht="15.6" x14ac:dyDescent="0.3">
      <c r="A138" s="2" t="s">
        <v>639</v>
      </c>
      <c r="B138" s="2" t="s">
        <v>640</v>
      </c>
      <c r="C138" s="2" t="s">
        <v>641</v>
      </c>
      <c r="D138" s="2" t="s">
        <v>108</v>
      </c>
      <c r="E138" s="2" t="s">
        <v>45</v>
      </c>
      <c r="F138" s="2" t="s">
        <v>28</v>
      </c>
      <c r="G138" s="2" t="s">
        <v>29</v>
      </c>
      <c r="H138" s="2" t="s">
        <v>236</v>
      </c>
      <c r="I138" s="2" t="s">
        <v>642</v>
      </c>
      <c r="J138" s="2" t="s">
        <v>49</v>
      </c>
      <c r="K138" s="2" t="s">
        <v>21</v>
      </c>
      <c r="L138" s="2" t="s">
        <v>22</v>
      </c>
    </row>
    <row r="139" spans="1:12" ht="15.6" x14ac:dyDescent="0.3">
      <c r="A139" s="2" t="s">
        <v>643</v>
      </c>
      <c r="B139" s="2" t="s">
        <v>644</v>
      </c>
      <c r="C139" s="2" t="s">
        <v>645</v>
      </c>
      <c r="D139" s="2" t="s">
        <v>531</v>
      </c>
      <c r="E139" s="2" t="s">
        <v>37</v>
      </c>
      <c r="F139" s="2" t="s">
        <v>224</v>
      </c>
      <c r="G139" s="2" t="s">
        <v>225</v>
      </c>
      <c r="H139" s="2" t="s">
        <v>19</v>
      </c>
      <c r="I139" s="2" t="s">
        <v>20</v>
      </c>
      <c r="J139" s="2" t="s">
        <v>49</v>
      </c>
      <c r="K139" s="2" t="s">
        <v>21</v>
      </c>
      <c r="L139" s="2" t="s">
        <v>22</v>
      </c>
    </row>
    <row r="140" spans="1:12" ht="15.6" x14ac:dyDescent="0.3">
      <c r="A140" s="2" t="s">
        <v>646</v>
      </c>
      <c r="B140" s="2" t="s">
        <v>647</v>
      </c>
      <c r="C140" s="2" t="s">
        <v>648</v>
      </c>
      <c r="D140" s="2" t="s">
        <v>76</v>
      </c>
      <c r="E140" s="2" t="s">
        <v>77</v>
      </c>
      <c r="F140" s="2" t="s">
        <v>633</v>
      </c>
      <c r="G140" s="2" t="s">
        <v>458</v>
      </c>
      <c r="H140" s="2" t="s">
        <v>19</v>
      </c>
      <c r="I140" s="2" t="s">
        <v>20</v>
      </c>
      <c r="J140" s="2" t="s">
        <v>49</v>
      </c>
      <c r="K140" s="2" t="s">
        <v>21</v>
      </c>
      <c r="L140" s="2" t="s">
        <v>22</v>
      </c>
    </row>
    <row r="141" spans="1:12" ht="15.6" x14ac:dyDescent="0.3">
      <c r="A141" s="2" t="s">
        <v>649</v>
      </c>
      <c r="B141" s="2" t="s">
        <v>650</v>
      </c>
      <c r="C141" s="2" t="s">
        <v>559</v>
      </c>
      <c r="D141" s="2" t="s">
        <v>536</v>
      </c>
      <c r="E141" s="2" t="s">
        <v>54</v>
      </c>
      <c r="F141" s="2" t="s">
        <v>433</v>
      </c>
      <c r="G141" s="2" t="s">
        <v>434</v>
      </c>
      <c r="H141" s="2" t="s">
        <v>19</v>
      </c>
      <c r="I141" s="2" t="s">
        <v>242</v>
      </c>
      <c r="J141" s="2" t="s">
        <v>213</v>
      </c>
      <c r="K141" s="2" t="s">
        <v>21</v>
      </c>
      <c r="L141" s="2" t="s">
        <v>22</v>
      </c>
    </row>
    <row r="142" spans="1:12" ht="15.6" x14ac:dyDescent="0.3">
      <c r="A142" s="2" t="s">
        <v>651</v>
      </c>
      <c r="B142" s="2" t="s">
        <v>652</v>
      </c>
      <c r="C142" s="2" t="s">
        <v>653</v>
      </c>
      <c r="D142" s="2" t="s">
        <v>120</v>
      </c>
      <c r="E142" s="2" t="s">
        <v>54</v>
      </c>
      <c r="F142" s="2" t="s">
        <v>289</v>
      </c>
      <c r="G142" s="2" t="s">
        <v>290</v>
      </c>
      <c r="H142" s="2" t="s">
        <v>19</v>
      </c>
      <c r="I142" s="2" t="s">
        <v>72</v>
      </c>
      <c r="J142" s="2" t="s">
        <v>213</v>
      </c>
      <c r="K142" s="2" t="s">
        <v>21</v>
      </c>
      <c r="L142" s="2" t="s">
        <v>22</v>
      </c>
    </row>
    <row r="143" spans="1:12" ht="15.6" x14ac:dyDescent="0.3">
      <c r="A143" s="2" t="s">
        <v>654</v>
      </c>
      <c r="B143" s="2" t="s">
        <v>655</v>
      </c>
      <c r="C143" s="2" t="s">
        <v>656</v>
      </c>
      <c r="D143" s="2" t="s">
        <v>657</v>
      </c>
      <c r="E143" s="2" t="s">
        <v>247</v>
      </c>
      <c r="F143" s="2" t="s">
        <v>295</v>
      </c>
      <c r="G143" s="2" t="s">
        <v>658</v>
      </c>
      <c r="H143" s="2" t="s">
        <v>19</v>
      </c>
      <c r="I143" s="2" t="s">
        <v>349</v>
      </c>
      <c r="J143" s="2" t="s">
        <v>49</v>
      </c>
      <c r="K143" s="2" t="s">
        <v>21</v>
      </c>
      <c r="L143" s="2" t="s">
        <v>22</v>
      </c>
    </row>
    <row r="144" spans="1:12" ht="15.6" x14ac:dyDescent="0.3">
      <c r="A144" s="2" t="s">
        <v>659</v>
      </c>
      <c r="B144" s="2" t="s">
        <v>660</v>
      </c>
      <c r="C144" s="2" t="s">
        <v>661</v>
      </c>
      <c r="D144" s="2" t="s">
        <v>364</v>
      </c>
      <c r="E144" s="2" t="s">
        <v>662</v>
      </c>
      <c r="F144" s="2" t="s">
        <v>28</v>
      </c>
      <c r="G144" s="2" t="s">
        <v>29</v>
      </c>
      <c r="H144" s="2" t="s">
        <v>19</v>
      </c>
      <c r="I144" s="2" t="s">
        <v>20</v>
      </c>
      <c r="J144" s="2" t="s">
        <v>49</v>
      </c>
      <c r="K144" s="2" t="s">
        <v>40</v>
      </c>
      <c r="L144" s="2" t="s">
        <v>22</v>
      </c>
    </row>
    <row r="145" spans="1:12" ht="15.6" x14ac:dyDescent="0.3">
      <c r="A145" s="2" t="s">
        <v>663</v>
      </c>
      <c r="B145" s="2" t="s">
        <v>664</v>
      </c>
      <c r="C145" s="2" t="s">
        <v>665</v>
      </c>
      <c r="D145" s="2" t="s">
        <v>120</v>
      </c>
      <c r="E145" s="2" t="s">
        <v>54</v>
      </c>
      <c r="F145" s="2" t="s">
        <v>78</v>
      </c>
      <c r="G145" s="2" t="s">
        <v>621</v>
      </c>
      <c r="H145" s="2" t="s">
        <v>19</v>
      </c>
      <c r="I145" s="2" t="s">
        <v>527</v>
      </c>
      <c r="J145" s="2" t="s">
        <v>213</v>
      </c>
      <c r="K145" s="2" t="s">
        <v>21</v>
      </c>
      <c r="L145" s="2" t="s">
        <v>22</v>
      </c>
    </row>
    <row r="146" spans="1:12" ht="15.6" x14ac:dyDescent="0.3">
      <c r="A146" s="2" t="s">
        <v>666</v>
      </c>
      <c r="B146" s="2" t="s">
        <v>667</v>
      </c>
      <c r="C146" s="2" t="s">
        <v>668</v>
      </c>
      <c r="D146" s="2" t="s">
        <v>669</v>
      </c>
      <c r="E146" s="2" t="s">
        <v>62</v>
      </c>
      <c r="F146" s="2" t="s">
        <v>224</v>
      </c>
      <c r="G146" s="2" t="s">
        <v>225</v>
      </c>
      <c r="H146" s="2" t="s">
        <v>19</v>
      </c>
      <c r="I146" s="2" t="s">
        <v>20</v>
      </c>
      <c r="J146" s="2" t="s">
        <v>49</v>
      </c>
      <c r="K146" s="2" t="s">
        <v>40</v>
      </c>
      <c r="L146" s="2" t="s">
        <v>22</v>
      </c>
    </row>
    <row r="147" spans="1:12" ht="15.6" x14ac:dyDescent="0.3">
      <c r="A147" s="2" t="s">
        <v>670</v>
      </c>
      <c r="B147" s="2" t="s">
        <v>671</v>
      </c>
      <c r="C147" s="2" t="s">
        <v>672</v>
      </c>
      <c r="D147" s="2" t="s">
        <v>44</v>
      </c>
      <c r="E147" s="2" t="s">
        <v>45</v>
      </c>
      <c r="F147" s="2" t="s">
        <v>295</v>
      </c>
      <c r="G147" s="2" t="s">
        <v>658</v>
      </c>
      <c r="H147" s="2" t="s">
        <v>19</v>
      </c>
      <c r="I147" s="2" t="s">
        <v>349</v>
      </c>
      <c r="J147" s="2" t="s">
        <v>49</v>
      </c>
      <c r="K147" s="2" t="s">
        <v>21</v>
      </c>
      <c r="L147" s="2" t="s">
        <v>22</v>
      </c>
    </row>
    <row r="148" spans="1:12" ht="15.6" x14ac:dyDescent="0.3">
      <c r="A148" s="2" t="s">
        <v>673</v>
      </c>
      <c r="B148" s="2" t="s">
        <v>674</v>
      </c>
      <c r="C148" s="2" t="s">
        <v>675</v>
      </c>
      <c r="D148" s="2" t="s">
        <v>676</v>
      </c>
      <c r="E148" s="2" t="s">
        <v>62</v>
      </c>
      <c r="F148" s="2" t="s">
        <v>131</v>
      </c>
      <c r="G148" s="2" t="s">
        <v>132</v>
      </c>
      <c r="H148" s="2" t="s">
        <v>19</v>
      </c>
      <c r="I148" s="2" t="s">
        <v>20</v>
      </c>
      <c r="J148" s="2" t="s">
        <v>49</v>
      </c>
      <c r="K148" s="2" t="s">
        <v>21</v>
      </c>
      <c r="L148" s="2" t="s">
        <v>22</v>
      </c>
    </row>
    <row r="149" spans="1:12" ht="15.6" x14ac:dyDescent="0.3">
      <c r="A149" s="2" t="s">
        <v>677</v>
      </c>
      <c r="B149" s="2" t="s">
        <v>678</v>
      </c>
      <c r="C149" s="2" t="s">
        <v>679</v>
      </c>
      <c r="D149" s="2" t="s">
        <v>762</v>
      </c>
      <c r="E149" s="2" t="s">
        <v>54</v>
      </c>
      <c r="F149" s="2" t="s">
        <v>78</v>
      </c>
      <c r="G149" s="2" t="s">
        <v>621</v>
      </c>
      <c r="H149" s="2" t="s">
        <v>19</v>
      </c>
      <c r="I149" s="2" t="s">
        <v>527</v>
      </c>
      <c r="J149" s="2" t="s">
        <v>30</v>
      </c>
      <c r="K149" s="2" t="s">
        <v>21</v>
      </c>
      <c r="L149" s="2" t="s">
        <v>22</v>
      </c>
    </row>
    <row r="150" spans="1:12" ht="15.6" x14ac:dyDescent="0.3">
      <c r="A150" s="2" t="s">
        <v>680</v>
      </c>
      <c r="B150" s="2" t="s">
        <v>681</v>
      </c>
      <c r="C150" s="2" t="s">
        <v>582</v>
      </c>
      <c r="D150" s="2" t="s">
        <v>583</v>
      </c>
      <c r="E150" s="2" t="s">
        <v>102</v>
      </c>
      <c r="F150" s="2" t="s">
        <v>426</v>
      </c>
      <c r="G150" s="2" t="s">
        <v>427</v>
      </c>
      <c r="H150" s="2" t="s">
        <v>19</v>
      </c>
      <c r="I150" s="2" t="s">
        <v>72</v>
      </c>
      <c r="J150" s="2" t="s">
        <v>49</v>
      </c>
      <c r="K150" s="2" t="s">
        <v>21</v>
      </c>
      <c r="L150" s="2" t="s">
        <v>22</v>
      </c>
    </row>
    <row r="151" spans="1:12" ht="15.6" x14ac:dyDescent="0.3">
      <c r="A151" s="2" t="s">
        <v>682</v>
      </c>
      <c r="B151" s="2" t="s">
        <v>683</v>
      </c>
      <c r="C151" s="2" t="s">
        <v>684</v>
      </c>
      <c r="D151" s="2" t="s">
        <v>685</v>
      </c>
      <c r="E151" s="2" t="s">
        <v>102</v>
      </c>
      <c r="F151" s="2" t="s">
        <v>28</v>
      </c>
      <c r="G151" s="2" t="s">
        <v>29</v>
      </c>
      <c r="H151" s="2" t="s">
        <v>19</v>
      </c>
      <c r="I151" s="2" t="s">
        <v>20</v>
      </c>
      <c r="J151" s="2" t="s">
        <v>49</v>
      </c>
      <c r="K151" s="2" t="s">
        <v>40</v>
      </c>
      <c r="L151" s="2" t="s">
        <v>22</v>
      </c>
    </row>
    <row r="152" spans="1:12" ht="15.6" x14ac:dyDescent="0.3">
      <c r="A152" s="2" t="s">
        <v>686</v>
      </c>
      <c r="B152" s="2" t="s">
        <v>687</v>
      </c>
      <c r="C152" s="2" t="s">
        <v>688</v>
      </c>
      <c r="D152" s="2" t="s">
        <v>76</v>
      </c>
      <c r="E152" s="2" t="s">
        <v>77</v>
      </c>
      <c r="F152" s="2" t="s">
        <v>28</v>
      </c>
      <c r="G152" s="2" t="s">
        <v>29</v>
      </c>
      <c r="H152" s="2" t="s">
        <v>19</v>
      </c>
      <c r="I152" s="2" t="s">
        <v>21</v>
      </c>
      <c r="J152" s="2" t="s">
        <v>49</v>
      </c>
      <c r="K152" s="2" t="s">
        <v>21</v>
      </c>
      <c r="L152" s="2" t="s">
        <v>65</v>
      </c>
    </row>
    <row r="153" spans="1:12" ht="15.6" x14ac:dyDescent="0.3">
      <c r="A153" s="2" t="s">
        <v>689</v>
      </c>
      <c r="B153" s="2" t="s">
        <v>690</v>
      </c>
      <c r="C153" s="2" t="s">
        <v>691</v>
      </c>
      <c r="D153" s="2" t="s">
        <v>692</v>
      </c>
      <c r="E153" s="2" t="s">
        <v>62</v>
      </c>
      <c r="F153" s="2" t="s">
        <v>593</v>
      </c>
      <c r="G153" s="2" t="s">
        <v>594</v>
      </c>
      <c r="H153" s="2" t="s">
        <v>19</v>
      </c>
      <c r="I153" s="2" t="s">
        <v>349</v>
      </c>
      <c r="J153" s="2" t="s">
        <v>30</v>
      </c>
      <c r="K153" s="2" t="s">
        <v>21</v>
      </c>
      <c r="L153" s="2" t="s">
        <v>22</v>
      </c>
    </row>
    <row r="154" spans="1:12" ht="15.6" x14ac:dyDescent="0.3">
      <c r="A154" s="2" t="s">
        <v>693</v>
      </c>
      <c r="B154" s="2" t="s">
        <v>694</v>
      </c>
      <c r="C154" s="2" t="s">
        <v>695</v>
      </c>
      <c r="D154" s="2" t="s">
        <v>76</v>
      </c>
      <c r="E154" s="2" t="s">
        <v>77</v>
      </c>
      <c r="F154" s="2" t="s">
        <v>696</v>
      </c>
      <c r="G154" s="2" t="s">
        <v>697</v>
      </c>
      <c r="H154" s="2" t="s">
        <v>19</v>
      </c>
      <c r="I154" s="2" t="s">
        <v>242</v>
      </c>
      <c r="J154" s="2" t="s">
        <v>49</v>
      </c>
      <c r="K154" s="2" t="s">
        <v>21</v>
      </c>
      <c r="L154" s="2" t="s">
        <v>22</v>
      </c>
    </row>
    <row r="155" spans="1:12" ht="15.6" x14ac:dyDescent="0.3">
      <c r="A155" s="2" t="s">
        <v>698</v>
      </c>
      <c r="B155" s="2" t="s">
        <v>699</v>
      </c>
      <c r="C155" s="2" t="s">
        <v>700</v>
      </c>
      <c r="D155" s="2" t="s">
        <v>402</v>
      </c>
      <c r="E155" s="2" t="s">
        <v>102</v>
      </c>
      <c r="F155" s="2" t="s">
        <v>224</v>
      </c>
      <c r="G155" s="2" t="s">
        <v>225</v>
      </c>
      <c r="H155" s="2" t="s">
        <v>19</v>
      </c>
      <c r="I155" s="2" t="s">
        <v>20</v>
      </c>
      <c r="J155" s="2" t="s">
        <v>49</v>
      </c>
      <c r="K155" s="2" t="s">
        <v>21</v>
      </c>
      <c r="L155" s="2" t="s">
        <v>22</v>
      </c>
    </row>
    <row r="156" spans="1:12" ht="15.6" x14ac:dyDescent="0.3">
      <c r="A156" s="2" t="s">
        <v>701</v>
      </c>
      <c r="B156" s="2" t="s">
        <v>702</v>
      </c>
      <c r="C156" s="2" t="s">
        <v>703</v>
      </c>
      <c r="D156" s="2" t="s">
        <v>182</v>
      </c>
      <c r="E156" s="2" t="s">
        <v>183</v>
      </c>
      <c r="F156" s="2" t="s">
        <v>403</v>
      </c>
      <c r="G156" s="2" t="s">
        <v>404</v>
      </c>
      <c r="H156" s="2" t="s">
        <v>19</v>
      </c>
      <c r="I156" s="2" t="s">
        <v>20</v>
      </c>
      <c r="J156" s="2" t="s">
        <v>49</v>
      </c>
      <c r="K156" s="2" t="s">
        <v>21</v>
      </c>
      <c r="L156" s="2" t="s">
        <v>22</v>
      </c>
    </row>
    <row r="157" spans="1:12" ht="15.6" x14ac:dyDescent="0.3">
      <c r="A157" s="2" t="s">
        <v>704</v>
      </c>
      <c r="B157" s="2" t="s">
        <v>705</v>
      </c>
      <c r="C157" s="2" t="s">
        <v>706</v>
      </c>
      <c r="D157" s="2" t="s">
        <v>15</v>
      </c>
      <c r="E157" s="2" t="s">
        <v>16</v>
      </c>
      <c r="F157" s="2" t="s">
        <v>28</v>
      </c>
      <c r="G157" s="2" t="s">
        <v>29</v>
      </c>
      <c r="H157" s="2" t="s">
        <v>19</v>
      </c>
      <c r="I157" s="2" t="s">
        <v>21</v>
      </c>
      <c r="J157" s="2" t="s">
        <v>49</v>
      </c>
      <c r="K157" s="2" t="s">
        <v>21</v>
      </c>
      <c r="L157" s="2" t="s">
        <v>22</v>
      </c>
    </row>
    <row r="158" spans="1:12" ht="15.6" x14ac:dyDescent="0.3">
      <c r="A158" s="2" t="s">
        <v>707</v>
      </c>
      <c r="B158" s="2" t="s">
        <v>708</v>
      </c>
      <c r="C158" s="2" t="s">
        <v>709</v>
      </c>
      <c r="D158" s="2" t="s">
        <v>607</v>
      </c>
      <c r="E158" s="2" t="s">
        <v>173</v>
      </c>
      <c r="F158" s="2" t="s">
        <v>184</v>
      </c>
      <c r="G158" s="2" t="s">
        <v>710</v>
      </c>
      <c r="H158" s="2" t="s">
        <v>19</v>
      </c>
      <c r="I158" s="2" t="s">
        <v>527</v>
      </c>
      <c r="J158" s="2" t="s">
        <v>49</v>
      </c>
      <c r="K158" s="2" t="s">
        <v>21</v>
      </c>
      <c r="L158" s="2" t="s">
        <v>22</v>
      </c>
    </row>
    <row r="159" spans="1:12" ht="15.6" x14ac:dyDescent="0.3">
      <c r="A159" s="2" t="s">
        <v>711</v>
      </c>
      <c r="B159" s="2" t="s">
        <v>712</v>
      </c>
      <c r="C159" s="2" t="s">
        <v>713</v>
      </c>
      <c r="D159" s="2" t="s">
        <v>714</v>
      </c>
      <c r="E159" s="2" t="s">
        <v>247</v>
      </c>
      <c r="F159" s="2" t="s">
        <v>70</v>
      </c>
      <c r="G159" s="2" t="s">
        <v>71</v>
      </c>
      <c r="H159" s="2" t="s">
        <v>19</v>
      </c>
      <c r="I159" s="2" t="s">
        <v>72</v>
      </c>
      <c r="J159" s="2" t="s">
        <v>49</v>
      </c>
      <c r="K159" s="2" t="s">
        <v>40</v>
      </c>
      <c r="L159" s="2" t="s">
        <v>22</v>
      </c>
    </row>
    <row r="160" spans="1:12" ht="15.6" x14ac:dyDescent="0.3">
      <c r="A160" s="2" t="s">
        <v>715</v>
      </c>
      <c r="B160" s="2" t="s">
        <v>716</v>
      </c>
      <c r="C160" s="2" t="s">
        <v>717</v>
      </c>
      <c r="D160" s="2" t="s">
        <v>120</v>
      </c>
      <c r="E160" s="2" t="s">
        <v>54</v>
      </c>
      <c r="F160" s="2" t="s">
        <v>718</v>
      </c>
      <c r="G160" s="2" t="s">
        <v>719</v>
      </c>
      <c r="H160" s="2" t="s">
        <v>19</v>
      </c>
      <c r="I160" s="2" t="s">
        <v>20</v>
      </c>
      <c r="J160" s="2" t="s">
        <v>213</v>
      </c>
      <c r="K160" s="2" t="s">
        <v>40</v>
      </c>
      <c r="L160" s="2" t="s">
        <v>22</v>
      </c>
    </row>
    <row r="161" spans="1:12" ht="15.6" x14ac:dyDescent="0.3">
      <c r="A161" s="2" t="s">
        <v>720</v>
      </c>
      <c r="B161" s="2" t="s">
        <v>721</v>
      </c>
      <c r="C161" s="2" t="s">
        <v>700</v>
      </c>
      <c r="D161" s="2" t="s">
        <v>402</v>
      </c>
      <c r="E161" s="2" t="s">
        <v>102</v>
      </c>
      <c r="F161" s="2" t="s">
        <v>224</v>
      </c>
      <c r="G161" s="2" t="s">
        <v>225</v>
      </c>
      <c r="H161" s="2" t="s">
        <v>19</v>
      </c>
      <c r="I161" s="2" t="s">
        <v>21</v>
      </c>
      <c r="J161" s="2" t="s">
        <v>49</v>
      </c>
      <c r="K161" s="2" t="s">
        <v>40</v>
      </c>
      <c r="L161" s="2" t="s">
        <v>65</v>
      </c>
    </row>
    <row r="162" spans="1:12" ht="15.6" x14ac:dyDescent="0.3">
      <c r="A162" s="2" t="s">
        <v>722</v>
      </c>
      <c r="B162" s="2" t="s">
        <v>723</v>
      </c>
      <c r="C162" s="2" t="s">
        <v>724</v>
      </c>
      <c r="D162" s="2" t="s">
        <v>76</v>
      </c>
      <c r="E162" s="2" t="s">
        <v>77</v>
      </c>
      <c r="F162" s="2" t="s">
        <v>28</v>
      </c>
      <c r="G162" s="2" t="s">
        <v>29</v>
      </c>
      <c r="H162" s="2" t="s">
        <v>19</v>
      </c>
      <c r="I162" s="2" t="s">
        <v>20</v>
      </c>
      <c r="J162" s="2" t="s">
        <v>49</v>
      </c>
      <c r="K162" s="2" t="s">
        <v>21</v>
      </c>
      <c r="L162" s="2" t="s">
        <v>22</v>
      </c>
    </row>
    <row r="163" spans="1:12" ht="15.6" x14ac:dyDescent="0.3">
      <c r="A163" s="2" t="s">
        <v>725</v>
      </c>
      <c r="B163" s="2" t="s">
        <v>726</v>
      </c>
      <c r="C163" s="2" t="s">
        <v>727</v>
      </c>
      <c r="D163" s="2" t="s">
        <v>728</v>
      </c>
      <c r="E163" s="2" t="s">
        <v>62</v>
      </c>
      <c r="F163" s="2" t="s">
        <v>28</v>
      </c>
      <c r="G163" s="2" t="s">
        <v>29</v>
      </c>
      <c r="H163" s="2" t="s">
        <v>19</v>
      </c>
      <c r="I163" s="2" t="s">
        <v>20</v>
      </c>
      <c r="J163" s="2" t="s">
        <v>49</v>
      </c>
      <c r="K163" s="2" t="s">
        <v>21</v>
      </c>
      <c r="L163" s="2" t="s">
        <v>22</v>
      </c>
    </row>
    <row r="164" spans="1:12" ht="15.6" x14ac:dyDescent="0.3">
      <c r="A164" s="2" t="s">
        <v>729</v>
      </c>
      <c r="B164" s="2" t="s">
        <v>730</v>
      </c>
      <c r="C164" s="2" t="s">
        <v>731</v>
      </c>
      <c r="D164" s="2" t="s">
        <v>568</v>
      </c>
      <c r="E164" s="2" t="s">
        <v>45</v>
      </c>
      <c r="F164" s="2" t="s">
        <v>284</v>
      </c>
      <c r="G164" s="2" t="s">
        <v>285</v>
      </c>
      <c r="H164" s="2" t="s">
        <v>19</v>
      </c>
      <c r="I164" s="2" t="s">
        <v>20</v>
      </c>
      <c r="J164" s="2" t="s">
        <v>49</v>
      </c>
      <c r="K164" s="2" t="s">
        <v>21</v>
      </c>
      <c r="L164" s="2" t="s">
        <v>22</v>
      </c>
    </row>
    <row r="165" spans="1:12" ht="15.6" x14ac:dyDescent="0.3">
      <c r="A165" s="2" t="s">
        <v>732</v>
      </c>
      <c r="B165" s="2" t="s">
        <v>733</v>
      </c>
      <c r="C165" s="2" t="s">
        <v>500</v>
      </c>
      <c r="D165" s="2" t="s">
        <v>182</v>
      </c>
      <c r="E165" s="2" t="s">
        <v>183</v>
      </c>
      <c r="F165" s="2" t="s">
        <v>17</v>
      </c>
      <c r="G165" s="2" t="s">
        <v>18</v>
      </c>
      <c r="H165" s="2" t="s">
        <v>19</v>
      </c>
      <c r="I165" s="2" t="s">
        <v>20</v>
      </c>
      <c r="J165" s="2" t="s">
        <v>49</v>
      </c>
      <c r="K165" s="2" t="s">
        <v>40</v>
      </c>
      <c r="L165" s="2" t="s">
        <v>22</v>
      </c>
    </row>
    <row r="166" spans="1:12" ht="15.6" x14ac:dyDescent="0.3">
      <c r="A166" s="2" t="s">
        <v>734</v>
      </c>
      <c r="B166" s="2" t="s">
        <v>735</v>
      </c>
      <c r="C166" s="2" t="s">
        <v>709</v>
      </c>
      <c r="D166" s="2" t="s">
        <v>607</v>
      </c>
      <c r="E166" s="2" t="s">
        <v>736</v>
      </c>
      <c r="F166" s="2" t="s">
        <v>78</v>
      </c>
      <c r="G166" s="2" t="s">
        <v>79</v>
      </c>
      <c r="H166" s="2" t="s">
        <v>19</v>
      </c>
      <c r="I166" s="2" t="s">
        <v>72</v>
      </c>
      <c r="J166" s="2" t="s">
        <v>49</v>
      </c>
      <c r="K166" s="2" t="s">
        <v>21</v>
      </c>
      <c r="L166" s="2" t="s">
        <v>22</v>
      </c>
    </row>
    <row r="167" spans="1:12" ht="15.6" x14ac:dyDescent="0.3">
      <c r="A167" s="2" t="s">
        <v>737</v>
      </c>
      <c r="B167" s="2" t="s">
        <v>738</v>
      </c>
      <c r="C167" s="2" t="s">
        <v>739</v>
      </c>
      <c r="D167" s="2" t="s">
        <v>740</v>
      </c>
      <c r="E167" s="2" t="s">
        <v>741</v>
      </c>
      <c r="F167" s="2" t="s">
        <v>70</v>
      </c>
      <c r="G167" s="2" t="s">
        <v>71</v>
      </c>
      <c r="H167" s="2" t="s">
        <v>19</v>
      </c>
      <c r="I167" s="2" t="s">
        <v>72</v>
      </c>
      <c r="J167" s="2" t="s">
        <v>49</v>
      </c>
      <c r="K167" s="2" t="s">
        <v>21</v>
      </c>
      <c r="L167" s="2" t="s">
        <v>22</v>
      </c>
    </row>
    <row r="168" spans="1:12" ht="15.6" x14ac:dyDescent="0.3">
      <c r="A168" s="2" t="s">
        <v>742</v>
      </c>
      <c r="B168" s="2" t="s">
        <v>743</v>
      </c>
      <c r="C168" s="2" t="s">
        <v>638</v>
      </c>
      <c r="D168" s="2" t="s">
        <v>44</v>
      </c>
      <c r="E168" s="2" t="s">
        <v>45</v>
      </c>
      <c r="F168" s="2" t="s">
        <v>28</v>
      </c>
      <c r="G168" s="2" t="s">
        <v>29</v>
      </c>
      <c r="H168" s="2" t="s">
        <v>484</v>
      </c>
      <c r="I168" s="2" t="s">
        <v>485</v>
      </c>
      <c r="J168" s="2" t="s">
        <v>49</v>
      </c>
      <c r="K168" s="2" t="s">
        <v>40</v>
      </c>
      <c r="L168" s="2" t="s">
        <v>22</v>
      </c>
    </row>
    <row r="169" spans="1:12" ht="15.6" x14ac:dyDescent="0.3">
      <c r="A169" s="2" t="s">
        <v>744</v>
      </c>
      <c r="B169" s="2" t="s">
        <v>745</v>
      </c>
      <c r="C169" s="2" t="s">
        <v>746</v>
      </c>
      <c r="D169" s="2" t="s">
        <v>747</v>
      </c>
      <c r="E169" s="2" t="s">
        <v>748</v>
      </c>
      <c r="F169" s="2" t="s">
        <v>321</v>
      </c>
      <c r="G169" s="2" t="s">
        <v>322</v>
      </c>
      <c r="H169" s="2" t="s">
        <v>19</v>
      </c>
      <c r="I169" s="2" t="s">
        <v>323</v>
      </c>
      <c r="J169" s="2" t="s">
        <v>92</v>
      </c>
      <c r="K169" s="2" t="s">
        <v>21</v>
      </c>
      <c r="L169" s="2" t="s">
        <v>22</v>
      </c>
    </row>
    <row r="170" spans="1:12" ht="15.6" x14ac:dyDescent="0.3">
      <c r="A170" s="2" t="s">
        <v>749</v>
      </c>
      <c r="B170" s="2" t="s">
        <v>750</v>
      </c>
      <c r="C170" s="2" t="s">
        <v>751</v>
      </c>
      <c r="D170" s="2" t="s">
        <v>752</v>
      </c>
      <c r="E170" s="2" t="s">
        <v>84</v>
      </c>
      <c r="F170" s="2" t="s">
        <v>321</v>
      </c>
      <c r="G170" s="2" t="s">
        <v>322</v>
      </c>
      <c r="H170" s="2" t="s">
        <v>19</v>
      </c>
      <c r="I170" s="2" t="s">
        <v>323</v>
      </c>
      <c r="J170" s="2" t="s">
        <v>753</v>
      </c>
      <c r="K170" s="2" t="s">
        <v>21</v>
      </c>
      <c r="L170" s="2" t="s">
        <v>22</v>
      </c>
    </row>
    <row r="171" spans="1:12" ht="15.6" x14ac:dyDescent="0.3">
      <c r="A171" s="2" t="s">
        <v>754</v>
      </c>
      <c r="B171" s="2" t="s">
        <v>755</v>
      </c>
      <c r="C171" s="2" t="s">
        <v>756</v>
      </c>
      <c r="D171" s="2" t="s">
        <v>120</v>
      </c>
      <c r="E171" s="2" t="s">
        <v>54</v>
      </c>
      <c r="F171" s="2" t="s">
        <v>757</v>
      </c>
      <c r="G171" s="2" t="s">
        <v>758</v>
      </c>
      <c r="H171" s="2" t="s">
        <v>19</v>
      </c>
      <c r="I171" s="2" t="s">
        <v>586</v>
      </c>
      <c r="J171" s="2" t="s">
        <v>539</v>
      </c>
      <c r="K171" s="2" t="s">
        <v>40</v>
      </c>
      <c r="L171" s="2" t="s">
        <v>22</v>
      </c>
    </row>
    <row r="172" spans="1:12" ht="15.6" x14ac:dyDescent="0.3">
      <c r="A172" s="2" t="s">
        <v>759</v>
      </c>
      <c r="B172" s="2" t="s">
        <v>760</v>
      </c>
      <c r="C172" s="2" t="s">
        <v>761</v>
      </c>
      <c r="D172" s="2" t="s">
        <v>44</v>
      </c>
      <c r="E172" s="2" t="s">
        <v>45</v>
      </c>
      <c r="F172" s="2" t="s">
        <v>17</v>
      </c>
      <c r="G172" s="2" t="s">
        <v>18</v>
      </c>
      <c r="H172" s="2" t="s">
        <v>19</v>
      </c>
      <c r="I172" s="2" t="s">
        <v>20</v>
      </c>
      <c r="J172" s="2" t="s">
        <v>49</v>
      </c>
      <c r="K172" s="2" t="s">
        <v>21</v>
      </c>
      <c r="L172" s="2"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A1874"/>
  <sheetViews>
    <sheetView zoomScaleNormal="100" workbookViewId="0">
      <selection activeCell="AA171" sqref="AA171"/>
    </sheetView>
  </sheetViews>
  <sheetFormatPr defaultRowHeight="14.4" x14ac:dyDescent="0.3"/>
  <cols>
    <col min="1" max="1" width="22" customWidth="1"/>
    <col min="2" max="2" width="31.5546875" customWidth="1"/>
    <col min="3" max="3" width="21.5546875" customWidth="1"/>
    <col min="4" max="4" width="22.33203125" customWidth="1"/>
    <col min="5" max="5" width="23" customWidth="1"/>
    <col min="6" max="6" width="28.109375" customWidth="1"/>
    <col min="7" max="7" width="178.109375" bestFit="1" customWidth="1"/>
    <col min="8" max="8" width="8.88671875" style="21" customWidth="1"/>
    <col min="9" max="9" width="14" style="10" customWidth="1"/>
    <col min="11" max="11" width="18.33203125" customWidth="1"/>
    <col min="12" max="12" width="19" customWidth="1"/>
    <col min="13" max="13" width="23.77734375" customWidth="1"/>
    <col min="14" max="14" width="14.44140625" customWidth="1"/>
    <col min="15" max="15" width="29.109375" style="7" customWidth="1"/>
    <col min="16" max="16" width="13.5546875" style="7" customWidth="1"/>
    <col min="17" max="17" width="15.77734375" customWidth="1"/>
    <col min="18" max="18" width="13.44140625" style="18" customWidth="1"/>
    <col min="19" max="19" width="17.109375" customWidth="1"/>
    <col min="20" max="20" width="22.21875" customWidth="1"/>
    <col min="21" max="21" width="17.44140625" customWidth="1"/>
    <col min="22" max="22" width="11.77734375" style="25" bestFit="1" customWidth="1"/>
    <col min="23" max="23" width="8.88671875" style="25"/>
    <col min="24" max="24" width="11.5546875" customWidth="1"/>
    <col min="25" max="25" width="14.44140625" bestFit="1" customWidth="1"/>
    <col min="26" max="26" width="25.21875" style="32" customWidth="1"/>
    <col min="27" max="27" width="14.5546875" bestFit="1" customWidth="1"/>
  </cols>
  <sheetData>
    <row r="1" spans="1:27" ht="15.6" x14ac:dyDescent="0.3">
      <c r="A1" s="3" t="s">
        <v>0</v>
      </c>
      <c r="B1" s="4" t="s">
        <v>1</v>
      </c>
      <c r="C1" s="3" t="s">
        <v>2</v>
      </c>
      <c r="D1" s="3" t="s">
        <v>3</v>
      </c>
      <c r="E1" s="3" t="s">
        <v>4</v>
      </c>
      <c r="F1" s="3" t="s">
        <v>5</v>
      </c>
      <c r="G1" s="3" t="s">
        <v>772</v>
      </c>
      <c r="H1" s="19" t="s">
        <v>7</v>
      </c>
      <c r="I1" s="8" t="s">
        <v>8</v>
      </c>
      <c r="J1" s="3" t="s">
        <v>9</v>
      </c>
      <c r="K1" s="3" t="s">
        <v>11</v>
      </c>
      <c r="L1" s="3" t="s">
        <v>10</v>
      </c>
      <c r="M1" s="6" t="s">
        <v>766</v>
      </c>
      <c r="N1" s="6" t="s">
        <v>779</v>
      </c>
      <c r="O1" s="15" t="s">
        <v>765</v>
      </c>
      <c r="P1" s="15" t="s">
        <v>777</v>
      </c>
      <c r="Q1" s="16" t="s">
        <v>778</v>
      </c>
      <c r="R1" s="17" t="s">
        <v>767</v>
      </c>
      <c r="S1" s="16"/>
      <c r="T1" s="16" t="s">
        <v>768</v>
      </c>
      <c r="U1" s="16" t="s">
        <v>771</v>
      </c>
      <c r="V1" s="24" t="s">
        <v>773</v>
      </c>
      <c r="W1" s="24" t="s">
        <v>774</v>
      </c>
      <c r="X1" s="16" t="s">
        <v>775</v>
      </c>
      <c r="Y1" s="16" t="s">
        <v>776</v>
      </c>
      <c r="Z1" s="16" t="s">
        <v>1124</v>
      </c>
      <c r="AA1" s="16" t="s">
        <v>1126</v>
      </c>
    </row>
    <row r="2" spans="1:27" ht="15.6" x14ac:dyDescent="0.3">
      <c r="A2" s="2" t="s">
        <v>12</v>
      </c>
      <c r="B2" s="5" t="s">
        <v>13</v>
      </c>
      <c r="C2" s="2" t="s">
        <v>14</v>
      </c>
      <c r="D2" s="2" t="s">
        <v>15</v>
      </c>
      <c r="E2" s="2" t="s">
        <v>16</v>
      </c>
      <c r="F2" s="2" t="s">
        <v>17</v>
      </c>
      <c r="G2" s="2" t="s">
        <v>18</v>
      </c>
      <c r="H2" s="20">
        <v>1</v>
      </c>
      <c r="I2" s="13">
        <v>449</v>
      </c>
      <c r="J2" s="12" t="s">
        <v>21</v>
      </c>
      <c r="K2" s="2" t="s">
        <v>21</v>
      </c>
      <c r="L2" s="2" t="s">
        <v>22</v>
      </c>
      <c r="M2" t="str">
        <f t="shared" ref="M2:M33" si="0">SUBSTITUTE(B2,",","")</f>
        <v>Sun 18 Jul 2021 10:38 pm IST</v>
      </c>
      <c r="N2" t="s">
        <v>935</v>
      </c>
      <c r="O2" s="7" t="str">
        <f>SUBSTITUTE(M2," IST","")</f>
        <v>Sun 18 Jul 2021 10:38 pm</v>
      </c>
      <c r="P2" s="7">
        <v>44395</v>
      </c>
      <c r="Q2" t="s">
        <v>780</v>
      </c>
      <c r="R2" s="11" t="s">
        <v>14</v>
      </c>
      <c r="S2" t="str">
        <f t="shared" ref="S2:S33" si="1">SUBSTITUTE(D2,",","")</f>
        <v>CHANDIGARH</v>
      </c>
      <c r="T2" t="s">
        <v>977</v>
      </c>
      <c r="U2" t="s">
        <v>977</v>
      </c>
      <c r="V2" s="25">
        <v>449</v>
      </c>
      <c r="X2" t="s">
        <v>1108</v>
      </c>
      <c r="Y2" t="s">
        <v>1110</v>
      </c>
      <c r="Z2" s="32" t="str">
        <f t="array" ref="Z2">IF(ISNUMBER(SEARCH("lipstick",G2)),"lipstick cases,","")&amp; IF(ISNUMBER(SEARCH("piggy",G2)),"Piggy coin bank ","")&amp;IF(ISNUMBER(SEARCH("Jewelry",G2)),"Jewelry box ","")&amp; IF(ISNUMBER(SEARCH("clutch",G2)),"Clutch purse,","")&amp; IF(ISNUMBER(SEARCH("wallet",G2)),"Wallet ","")&amp; IF(ISNUMBER(SEARCH("sling",G2)),"Sling bag ", "")&amp; IF(ISNUMBER(SEARCH("shoulder bag",G2)),"Shoulder bag,","")&amp; IF(ISNUMBER(SEARCH("Handbag",G2)),"Handbag","")</f>
        <v xml:space="preserve">Piggy coin bank </v>
      </c>
      <c r="AA2" t="s">
        <v>1127</v>
      </c>
    </row>
    <row r="3" spans="1:27" ht="15.6" x14ac:dyDescent="0.3">
      <c r="A3" s="2" t="s">
        <v>23</v>
      </c>
      <c r="B3" s="5" t="s">
        <v>24</v>
      </c>
      <c r="C3" s="2" t="s">
        <v>25</v>
      </c>
      <c r="D3" s="2" t="s">
        <v>26</v>
      </c>
      <c r="E3" s="2" t="s">
        <v>27</v>
      </c>
      <c r="F3" s="2" t="s">
        <v>28</v>
      </c>
      <c r="G3" s="2" t="s">
        <v>29</v>
      </c>
      <c r="H3" s="20">
        <v>1</v>
      </c>
      <c r="I3" s="13">
        <v>449</v>
      </c>
      <c r="J3" s="13">
        <v>60.18</v>
      </c>
      <c r="K3" s="2" t="s">
        <v>21</v>
      </c>
      <c r="L3" s="2" t="s">
        <v>22</v>
      </c>
      <c r="M3" t="str">
        <f t="shared" si="0"/>
        <v>Tue 19 Oct 2021 6:05 pm IST</v>
      </c>
      <c r="N3" t="s">
        <v>936</v>
      </c>
      <c r="O3" s="7" t="str">
        <f t="shared" ref="O3:O66" si="2">SUBSTITUTE(M3," IST","")</f>
        <v>Tue 19 Oct 2021 6:05 pm</v>
      </c>
      <c r="P3" s="7">
        <v>44488</v>
      </c>
      <c r="Q3" t="s">
        <v>781</v>
      </c>
      <c r="R3" s="11" t="s">
        <v>25</v>
      </c>
      <c r="S3" t="str">
        <f t="shared" si="1"/>
        <v>PASIGHAT</v>
      </c>
      <c r="T3" t="s">
        <v>978</v>
      </c>
      <c r="U3" t="s">
        <v>1050</v>
      </c>
      <c r="V3" s="25">
        <v>449</v>
      </c>
      <c r="W3" s="25">
        <v>60.18</v>
      </c>
      <c r="X3" t="s">
        <v>1108</v>
      </c>
      <c r="Y3" t="s">
        <v>1110</v>
      </c>
      <c r="Z3" s="32" t="str">
        <f t="array" ref="Z3">IF(ISNUMBER(SEARCH("lipstick",G3)),"lipstick cases,","")&amp; IF(ISNUMBER(SEARCH("piggy",G3)),"Piggy coin bank ","")&amp;IF(ISNUMBER(SEARCH("Jewelry",G3)),"Jewelry box ","")&amp; IF(ISNUMBER(SEARCH("clutch",G3)),"Clutch purse,","")&amp; IF(ISNUMBER(SEARCH("wallet",G3)),"Wallet ","")&amp; IF(ISNUMBER(SEARCH("sling",G3)),"Sling bag ", "")&amp; IF(ISNUMBER(SEARCH("shoulder bag",G3)),"Shoulder bag,","")&amp; IF(ISNUMBER(SEARCH("Handbag",G3)),"Handbag","")</f>
        <v xml:space="preserve">lipstick cases,Jewelry box </v>
      </c>
      <c r="AA3" t="s">
        <v>1128</v>
      </c>
    </row>
    <row r="4" spans="1:27" ht="15.6" x14ac:dyDescent="0.3">
      <c r="A4" s="2" t="s">
        <v>31</v>
      </c>
      <c r="B4" s="5" t="s">
        <v>32</v>
      </c>
      <c r="C4" s="2" t="s">
        <v>764</v>
      </c>
      <c r="D4" s="2" t="s">
        <v>26</v>
      </c>
      <c r="E4" s="2" t="s">
        <v>27</v>
      </c>
      <c r="F4" s="2" t="s">
        <v>28</v>
      </c>
      <c r="G4" s="2" t="s">
        <v>29</v>
      </c>
      <c r="H4" s="20">
        <v>1</v>
      </c>
      <c r="I4" s="13">
        <v>449</v>
      </c>
      <c r="J4" s="13">
        <v>60.18</v>
      </c>
      <c r="K4" s="2" t="s">
        <v>21</v>
      </c>
      <c r="L4" s="2" t="s">
        <v>22</v>
      </c>
      <c r="M4" t="str">
        <f t="shared" si="0"/>
        <v>Sun 28 Nov 2021 10:20 pm IST</v>
      </c>
      <c r="N4" t="s">
        <v>935</v>
      </c>
      <c r="O4" s="7" t="str">
        <f t="shared" si="2"/>
        <v>Sun 28 Nov 2021 10:20 pm</v>
      </c>
      <c r="P4" s="7">
        <v>44528</v>
      </c>
      <c r="Q4" t="s">
        <v>782</v>
      </c>
      <c r="R4" s="11" t="s">
        <v>942</v>
      </c>
      <c r="S4" t="str">
        <f t="shared" si="1"/>
        <v>PASIGHAT</v>
      </c>
      <c r="T4" t="s">
        <v>978</v>
      </c>
      <c r="U4" t="s">
        <v>1050</v>
      </c>
      <c r="V4" s="25">
        <v>449</v>
      </c>
      <c r="W4" s="18">
        <v>60.18</v>
      </c>
      <c r="X4" t="s">
        <v>1108</v>
      </c>
      <c r="Y4" t="s">
        <v>1110</v>
      </c>
      <c r="Z4" s="32" t="str">
        <f t="array" ref="Z4">IF(ISNUMBER(SEARCH("lipstick",G4)),"lipstick cases,","")&amp; IF(ISNUMBER(SEARCH("piggy",G4)),"Piggy coin bank ","")&amp;IF(ISNUMBER(SEARCH("Jewelry",G4)),"Jewelry box ","")&amp; IF(ISNUMBER(SEARCH("clutch",G4)),"Clutch purse,","")&amp; IF(ISNUMBER(SEARCH("wallet",G4)),"Wallet ","")&amp; IF(ISNUMBER(SEARCH("sling",G4)),"Sling bag ", "")&amp; IF(ISNUMBER(SEARCH("shoulder bag",G4)),"Shoulder bag,","")&amp; IF(ISNUMBER(SEARCH("Handbag",G4)),"Handbag","")</f>
        <v xml:space="preserve">lipstick cases,Jewelry box </v>
      </c>
      <c r="AA4" t="s">
        <v>1129</v>
      </c>
    </row>
    <row r="5" spans="1:27" ht="15.6" x14ac:dyDescent="0.3">
      <c r="A5" s="2" t="s">
        <v>33</v>
      </c>
      <c r="B5" s="5" t="s">
        <v>34</v>
      </c>
      <c r="C5" s="2" t="s">
        <v>35</v>
      </c>
      <c r="D5" s="2" t="s">
        <v>36</v>
      </c>
      <c r="E5" s="2" t="s">
        <v>37</v>
      </c>
      <c r="F5" s="2" t="s">
        <v>38</v>
      </c>
      <c r="G5" s="2" t="s">
        <v>39</v>
      </c>
      <c r="H5" s="20">
        <v>1</v>
      </c>
      <c r="I5" s="9" t="s">
        <v>21</v>
      </c>
      <c r="J5" s="12" t="s">
        <v>21</v>
      </c>
      <c r="K5" s="2" t="s">
        <v>40</v>
      </c>
      <c r="L5" s="2" t="s">
        <v>22</v>
      </c>
      <c r="M5" t="str">
        <f t="shared" si="0"/>
        <v>Wed 28 Jul 2021 4:06 am IST</v>
      </c>
      <c r="N5" t="s">
        <v>937</v>
      </c>
      <c r="O5" s="7" t="str">
        <f t="shared" si="2"/>
        <v>Wed 28 Jul 2021 4:06 am</v>
      </c>
      <c r="P5" s="7">
        <v>44405</v>
      </c>
      <c r="Q5" t="s">
        <v>783</v>
      </c>
      <c r="R5" s="11" t="s">
        <v>943</v>
      </c>
      <c r="S5" t="str">
        <f t="shared" si="1"/>
        <v>DEVARAKONDA</v>
      </c>
      <c r="T5" t="s">
        <v>979</v>
      </c>
      <c r="U5" t="s">
        <v>1051</v>
      </c>
      <c r="V5" s="25" t="s">
        <v>21</v>
      </c>
      <c r="X5" t="s">
        <v>1109</v>
      </c>
      <c r="Y5" t="s">
        <v>1110</v>
      </c>
      <c r="Z5" s="32" t="str">
        <f t="array" ref="Z5">IF(ISNUMBER(SEARCH("lipstick",G5)),"lipstick cases,","")&amp; IF(ISNUMBER(SEARCH("piggy",G5)),"Piggy coin bank ","")&amp;IF(ISNUMBER(SEARCH("Jewelry",G5)),"Jewelry box ","")&amp; IF(ISNUMBER(SEARCH("clutch",G5)),"Clutch purse,","")&amp; IF(ISNUMBER(SEARCH("wallet",G5)),"Wallet ","")&amp; IF(ISNUMBER(SEARCH("sling",G5)),"Sling bag ", "")&amp; IF(ISNUMBER(SEARCH("shoulder bag",G5)),"Shoulder bag,","")&amp; IF(ISNUMBER(SEARCH("Handbag",G5)),"Handbag","")</f>
        <v xml:space="preserve">Jewelry box </v>
      </c>
      <c r="AA5" t="s">
        <v>1127</v>
      </c>
    </row>
    <row r="6" spans="1:27" ht="15.6" x14ac:dyDescent="0.3">
      <c r="A6" s="2" t="s">
        <v>41</v>
      </c>
      <c r="B6" s="5" t="s">
        <v>42</v>
      </c>
      <c r="C6" s="2" t="s">
        <v>43</v>
      </c>
      <c r="D6" s="2" t="s">
        <v>44</v>
      </c>
      <c r="E6" s="2" t="s">
        <v>45</v>
      </c>
      <c r="F6" s="2" t="s">
        <v>46</v>
      </c>
      <c r="G6" s="2" t="s">
        <v>47</v>
      </c>
      <c r="H6" s="20">
        <v>1</v>
      </c>
      <c r="I6" s="13">
        <v>1099</v>
      </c>
      <c r="J6" s="13">
        <v>84.96</v>
      </c>
      <c r="K6" s="2" t="s">
        <v>21</v>
      </c>
      <c r="L6" s="2" t="s">
        <v>22</v>
      </c>
      <c r="M6" t="str">
        <f t="shared" si="0"/>
        <v>Tue 28 Sept 2021 2:50 pm IST</v>
      </c>
      <c r="N6" t="s">
        <v>936</v>
      </c>
      <c r="O6" s="7" t="str">
        <f t="shared" si="2"/>
        <v>Tue 28 Sept 2021 2:50 pm</v>
      </c>
      <c r="P6" s="7">
        <v>44467</v>
      </c>
      <c r="Q6" t="s">
        <v>784</v>
      </c>
      <c r="R6" s="11" t="s">
        <v>43</v>
      </c>
      <c r="S6" t="str">
        <f t="shared" si="1"/>
        <v>MUMBAI</v>
      </c>
      <c r="T6" t="s">
        <v>980</v>
      </c>
      <c r="U6" t="s">
        <v>339</v>
      </c>
      <c r="V6" s="25">
        <v>1099</v>
      </c>
      <c r="W6" s="14">
        <v>84.96</v>
      </c>
      <c r="X6" t="s">
        <v>1108</v>
      </c>
      <c r="Y6" t="s">
        <v>1110</v>
      </c>
      <c r="Z6" s="32" t="str">
        <f t="array" ref="Z6">IF(ISNUMBER(SEARCH("lipstick",G6)),"lipstick cases,","")&amp; IF(ISNUMBER(SEARCH("piggy",G6)),"Piggy coin bank ","")&amp;IF(ISNUMBER(SEARCH("Jewelry",G6)),"Jewelry box ","")&amp; IF(ISNUMBER(SEARCH("clutch",G6)),"Clutch purse,","")&amp; IF(ISNUMBER(SEARCH("wallet",G6)),"Wallet ","")&amp; IF(ISNUMBER(SEARCH("sling",G6)),"Sling bag ", "")&amp; IF(ISNUMBER(SEARCH("shoulder bag",G6)),"Shoulder bag,","")&amp; IF(ISNUMBER(SEARCH("Handbag",G6)),"Handbag","")</f>
        <v xml:space="preserve">Sling bag </v>
      </c>
      <c r="AA6" t="s">
        <v>1130</v>
      </c>
    </row>
    <row r="7" spans="1:27" ht="15.6" x14ac:dyDescent="0.3">
      <c r="A7" s="2" t="s">
        <v>50</v>
      </c>
      <c r="B7" s="5" t="s">
        <v>51</v>
      </c>
      <c r="C7" s="2" t="s">
        <v>52</v>
      </c>
      <c r="D7" s="2" t="s">
        <v>53</v>
      </c>
      <c r="E7" s="2" t="s">
        <v>54</v>
      </c>
      <c r="F7" s="2" t="s">
        <v>55</v>
      </c>
      <c r="G7" s="2" t="s">
        <v>56</v>
      </c>
      <c r="H7" s="20">
        <v>1</v>
      </c>
      <c r="I7" s="13">
        <v>200</v>
      </c>
      <c r="J7" s="12" t="s">
        <v>21</v>
      </c>
      <c r="K7" s="2" t="s">
        <v>21</v>
      </c>
      <c r="L7" s="2" t="s">
        <v>22</v>
      </c>
      <c r="M7" t="str">
        <f t="shared" si="0"/>
        <v>Thu 17 Jun 2021 9:12 pm IST</v>
      </c>
      <c r="N7" t="s">
        <v>938</v>
      </c>
      <c r="O7" s="7" t="str">
        <f t="shared" si="2"/>
        <v>Thu 17 Jun 2021 9:12 pm</v>
      </c>
      <c r="P7" s="7">
        <v>44364</v>
      </c>
      <c r="Q7" t="s">
        <v>785</v>
      </c>
      <c r="R7" s="11" t="s">
        <v>52</v>
      </c>
      <c r="S7" t="str">
        <f t="shared" si="1"/>
        <v>HOWRAH</v>
      </c>
      <c r="T7" t="s">
        <v>981</v>
      </c>
      <c r="U7" t="s">
        <v>1052</v>
      </c>
      <c r="V7" s="25">
        <v>200</v>
      </c>
      <c r="W7" s="18">
        <v>84.97</v>
      </c>
      <c r="X7" t="s">
        <v>1108</v>
      </c>
      <c r="Y7" t="s">
        <v>1110</v>
      </c>
      <c r="Z7" s="32" t="str">
        <f t="array" ref="Z7">IF(ISNUMBER(SEARCH("lipstick",G7)),"lipstick cases,","")&amp; IF(ISNUMBER(SEARCH("piggy",G7)),"Piggy coin bank ","")&amp;IF(ISNUMBER(SEARCH("Jewelry",G7)),"Jewelry box ","")&amp; IF(ISNUMBER(SEARCH("clutch",G7)),"Clutch purse,","")&amp; IF(ISNUMBER(SEARCH("wallet",G7)),"Wallet ","")&amp; IF(ISNUMBER(SEARCH("sling",G7)),"Sling bag ", "")&amp; IF(ISNUMBER(SEARCH("shoulder bag",G7)),"Shoulder bag,","")&amp; IF(ISNUMBER(SEARCH("Handbag",G7)),"Handbag","")</f>
        <v xml:space="preserve">Clutch purse,Wallet </v>
      </c>
      <c r="AA7" t="s">
        <v>1131</v>
      </c>
    </row>
    <row r="8" spans="1:27" ht="15.6" x14ac:dyDescent="0.3">
      <c r="A8" s="2" t="s">
        <v>58</v>
      </c>
      <c r="B8" s="5" t="s">
        <v>59</v>
      </c>
      <c r="C8" s="2" t="s">
        <v>60</v>
      </c>
      <c r="D8" s="2" t="s">
        <v>61</v>
      </c>
      <c r="E8" s="2" t="s">
        <v>62</v>
      </c>
      <c r="F8" s="2" t="s">
        <v>63</v>
      </c>
      <c r="G8" s="2" t="s">
        <v>64</v>
      </c>
      <c r="H8" s="20">
        <v>1</v>
      </c>
      <c r="I8" s="9" t="s">
        <v>21</v>
      </c>
      <c r="J8" s="12" t="s">
        <v>21</v>
      </c>
      <c r="K8" s="2" t="s">
        <v>40</v>
      </c>
      <c r="L8" s="2" t="s">
        <v>65</v>
      </c>
      <c r="M8" t="str">
        <f t="shared" si="0"/>
        <v>Thu 12 Aug 2021 8:03 pm IST</v>
      </c>
      <c r="N8" t="s">
        <v>938</v>
      </c>
      <c r="O8" s="7" t="str">
        <f t="shared" si="2"/>
        <v>Thu 12 Aug 2021 8:03 pm</v>
      </c>
      <c r="P8" s="7">
        <v>44420</v>
      </c>
      <c r="Q8" t="s">
        <v>786</v>
      </c>
      <c r="R8" s="11" t="s">
        <v>944</v>
      </c>
      <c r="S8" t="str">
        <f t="shared" si="1"/>
        <v>ORAI</v>
      </c>
      <c r="T8" t="s">
        <v>982</v>
      </c>
      <c r="U8" t="s">
        <v>1053</v>
      </c>
      <c r="V8" s="25" t="s">
        <v>21</v>
      </c>
      <c r="W8" s="18">
        <v>84.98</v>
      </c>
      <c r="X8" t="s">
        <v>1109</v>
      </c>
      <c r="Y8" t="s">
        <v>1111</v>
      </c>
      <c r="Z8" s="32" t="str">
        <f t="array" ref="Z8">IF(ISNUMBER(SEARCH("lipstick",G8)),"lipstick cases,","")&amp; IF(ISNUMBER(SEARCH("piggy",G8)),"Piggy coin bank ","")&amp;IF(ISNUMBER(SEARCH("Jewelry",G8)),"Jewelry box ","")&amp; IF(ISNUMBER(SEARCH("clutch",G8)),"Clutch purse,","")&amp; IF(ISNUMBER(SEARCH("wallet",G8)),"Wallet ","")&amp; IF(ISNUMBER(SEARCH("sling",G8)),"Sling bag ", "")&amp; IF(ISNUMBER(SEARCH("shoulder bag",G8)),"Shoulder bag,","")&amp; IF(ISNUMBER(SEARCH("Handbag",G8)),"Handbag","")</f>
        <v xml:space="preserve">Wallet </v>
      </c>
      <c r="AA8" t="s">
        <v>1132</v>
      </c>
    </row>
    <row r="9" spans="1:27" ht="15.6" x14ac:dyDescent="0.3">
      <c r="A9" s="2" t="s">
        <v>66</v>
      </c>
      <c r="B9" s="5" t="s">
        <v>67</v>
      </c>
      <c r="C9" s="2" t="s">
        <v>68</v>
      </c>
      <c r="D9" s="2" t="s">
        <v>69</v>
      </c>
      <c r="E9" s="2" t="s">
        <v>62</v>
      </c>
      <c r="F9" s="2" t="s">
        <v>70</v>
      </c>
      <c r="G9" s="2" t="s">
        <v>71</v>
      </c>
      <c r="H9" s="20">
        <v>1</v>
      </c>
      <c r="I9" s="13">
        <v>399</v>
      </c>
      <c r="J9" s="13">
        <v>84.96</v>
      </c>
      <c r="K9" s="2" t="s">
        <v>40</v>
      </c>
      <c r="L9" s="2" t="s">
        <v>22</v>
      </c>
      <c r="M9" t="str">
        <f t="shared" si="0"/>
        <v>Wed 29 Sept 2021 2:55 pm IST</v>
      </c>
      <c r="N9" t="s">
        <v>937</v>
      </c>
      <c r="O9" s="7" t="str">
        <f t="shared" si="2"/>
        <v>Wed 29 Sept 2021 2:55 pm</v>
      </c>
      <c r="P9" s="7">
        <v>44468</v>
      </c>
      <c r="Q9" t="s">
        <v>787</v>
      </c>
      <c r="R9" s="11" t="s">
        <v>68</v>
      </c>
      <c r="S9" t="str">
        <f t="shared" si="1"/>
        <v>BAREILLY</v>
      </c>
      <c r="T9" t="s">
        <v>983</v>
      </c>
      <c r="U9" t="s">
        <v>1053</v>
      </c>
      <c r="V9" s="25">
        <v>399</v>
      </c>
      <c r="W9" s="18">
        <v>84.99</v>
      </c>
      <c r="X9" t="s">
        <v>1109</v>
      </c>
      <c r="Y9" t="s">
        <v>1110</v>
      </c>
      <c r="Z9" s="32" t="str">
        <f t="array" ref="Z9">IF(ISNUMBER(SEARCH("lipstick",G9)),"lipstick cases,","")&amp; IF(ISNUMBER(SEARCH("piggy",G9)),"Piggy coin bank ","")&amp;IF(ISNUMBER(SEARCH("Jewelry",G9)),"Jewelry box ","")&amp; IF(ISNUMBER(SEARCH("clutch",G9)),"Clutch purse,","")&amp; IF(ISNUMBER(SEARCH("wallet",G9)),"Wallet ","")&amp; IF(ISNUMBER(SEARCH("sling",G9)),"Sling bag ", "")&amp; IF(ISNUMBER(SEARCH("shoulder bag",G9)),"Shoulder bag,","")&amp; IF(ISNUMBER(SEARCH("Handbag",G9)),"Handbag","")</f>
        <v xml:space="preserve">Clutch purse,Wallet </v>
      </c>
      <c r="AA9" t="s">
        <v>1130</v>
      </c>
    </row>
    <row r="10" spans="1:27" ht="15.6" x14ac:dyDescent="0.3">
      <c r="A10" s="2" t="s">
        <v>73</v>
      </c>
      <c r="B10" s="5" t="s">
        <v>74</v>
      </c>
      <c r="C10" s="2" t="s">
        <v>75</v>
      </c>
      <c r="D10" s="2" t="s">
        <v>76</v>
      </c>
      <c r="E10" s="2" t="s">
        <v>77</v>
      </c>
      <c r="F10" s="2" t="s">
        <v>78</v>
      </c>
      <c r="G10" s="2" t="s">
        <v>79</v>
      </c>
      <c r="H10" s="20">
        <v>1</v>
      </c>
      <c r="I10" s="13">
        <v>399</v>
      </c>
      <c r="J10" s="13">
        <v>84.96</v>
      </c>
      <c r="K10" s="2" t="s">
        <v>21</v>
      </c>
      <c r="L10" s="2" t="s">
        <v>22</v>
      </c>
      <c r="M10" t="str">
        <f t="shared" si="0"/>
        <v>Sat 13 Nov 2021 7:37 pm IST</v>
      </c>
      <c r="N10" t="s">
        <v>939</v>
      </c>
      <c r="O10" s="7" t="str">
        <f t="shared" si="2"/>
        <v>Sat 13 Nov 2021 7:37 pm</v>
      </c>
      <c r="P10" s="7">
        <v>44513</v>
      </c>
      <c r="Q10" t="s">
        <v>788</v>
      </c>
      <c r="R10" s="11" t="s">
        <v>75</v>
      </c>
      <c r="S10" t="str">
        <f t="shared" si="1"/>
        <v>BENGALURU</v>
      </c>
      <c r="T10" t="s">
        <v>984</v>
      </c>
      <c r="U10" t="s">
        <v>1054</v>
      </c>
      <c r="V10" s="25">
        <v>399</v>
      </c>
      <c r="W10" s="18">
        <v>84.1</v>
      </c>
      <c r="X10" t="s">
        <v>1108</v>
      </c>
      <c r="Y10" t="s">
        <v>1110</v>
      </c>
      <c r="Z10" s="32" t="str">
        <f t="array" ref="Z10">IF(ISNUMBER(SEARCH("lipstick",G10)),"lipstick cases,","")&amp; IF(ISNUMBER(SEARCH("piggy",G10)),"Piggy coin bank ","")&amp;IF(ISNUMBER(SEARCH("Jewelry",G10)),"Jewelry box ","")&amp; IF(ISNUMBER(SEARCH("clutch",G10)),"Clutch purse,","")&amp; IF(ISNUMBER(SEARCH("wallet",G10)),"Wallet ","")&amp; IF(ISNUMBER(SEARCH("sling",G10)),"Sling bag ", "")&amp; IF(ISNUMBER(SEARCH("shoulder bag",G10)),"Shoulder bag,","")&amp; IF(ISNUMBER(SEARCH("Handbag",G10)),"Handbag","")</f>
        <v xml:space="preserve">Jewelry box </v>
      </c>
      <c r="AA10" t="s">
        <v>1129</v>
      </c>
    </row>
    <row r="11" spans="1:27" ht="15.6" x14ac:dyDescent="0.3">
      <c r="A11" s="2" t="s">
        <v>80</v>
      </c>
      <c r="B11" s="5" t="s">
        <v>81</v>
      </c>
      <c r="C11" s="2" t="s">
        <v>82</v>
      </c>
      <c r="D11" s="2" t="s">
        <v>83</v>
      </c>
      <c r="E11" s="2" t="s">
        <v>84</v>
      </c>
      <c r="F11" s="2" t="s">
        <v>85</v>
      </c>
      <c r="G11" s="2" t="s">
        <v>86</v>
      </c>
      <c r="H11" s="20">
        <v>1</v>
      </c>
      <c r="I11" s="13">
        <v>1099</v>
      </c>
      <c r="J11" s="12" t="s">
        <v>21</v>
      </c>
      <c r="K11" s="2" t="s">
        <v>21</v>
      </c>
      <c r="L11" s="2" t="s">
        <v>22</v>
      </c>
      <c r="M11" t="str">
        <f t="shared" si="0"/>
        <v>Mon 9 Aug 2021 4:47 pm IST</v>
      </c>
      <c r="N11" t="s">
        <v>940</v>
      </c>
      <c r="O11" s="7" t="str">
        <f t="shared" si="2"/>
        <v>Mon 9 Aug 2021 4:47 pm</v>
      </c>
      <c r="P11" s="7">
        <v>44417</v>
      </c>
      <c r="Q11" t="s">
        <v>789</v>
      </c>
      <c r="R11" s="11" t="s">
        <v>82</v>
      </c>
      <c r="S11" t="str">
        <f t="shared" si="1"/>
        <v>Bhilai</v>
      </c>
      <c r="T11" t="s">
        <v>985</v>
      </c>
      <c r="U11" t="s">
        <v>1055</v>
      </c>
      <c r="V11" s="25">
        <v>1099</v>
      </c>
      <c r="W11" s="18">
        <v>84.100999999999999</v>
      </c>
      <c r="X11" t="s">
        <v>1108</v>
      </c>
      <c r="Y11" t="s">
        <v>1110</v>
      </c>
      <c r="Z11" s="32" t="str">
        <f t="array" ref="Z11">IF(ISNUMBER(SEARCH("lipstick",G11)),"lipstick cases,","")&amp; IF(ISNUMBER(SEARCH("piggy",G11)),"Piggy coin bank ","")&amp;IF(ISNUMBER(SEARCH("Jewelry",G11)),"Jewelry box ","")&amp; IF(ISNUMBER(SEARCH("clutch",G11)),"Clutch purse,","")&amp; IF(ISNUMBER(SEARCH("wallet",G11)),"Wallet ","")&amp; IF(ISNUMBER(SEARCH("sling",G11)),"Sling bag ", "")&amp; IF(ISNUMBER(SEARCH("shoulder bag",G11)),"Shoulder bag,","")&amp; IF(ISNUMBER(SEARCH("Handbag",G11)),"Handbag","")</f>
        <v xml:space="preserve">Sling bag </v>
      </c>
      <c r="AA11" t="s">
        <v>1132</v>
      </c>
    </row>
    <row r="12" spans="1:27" ht="15.6" x14ac:dyDescent="0.3">
      <c r="A12" s="2" t="s">
        <v>87</v>
      </c>
      <c r="B12" s="5" t="s">
        <v>88</v>
      </c>
      <c r="C12" s="2" t="s">
        <v>89</v>
      </c>
      <c r="D12" s="2" t="s">
        <v>90</v>
      </c>
      <c r="E12" s="2" t="s">
        <v>91</v>
      </c>
      <c r="F12" s="2" t="s">
        <v>17</v>
      </c>
      <c r="G12" s="2" t="s">
        <v>18</v>
      </c>
      <c r="H12" s="20">
        <v>1</v>
      </c>
      <c r="I12" s="13">
        <v>449</v>
      </c>
      <c r="J12" s="13">
        <v>114.46</v>
      </c>
      <c r="K12" s="2" t="s">
        <v>21</v>
      </c>
      <c r="L12" s="2" t="s">
        <v>22</v>
      </c>
      <c r="M12" t="str">
        <f t="shared" si="0"/>
        <v>Sat 4 Sept 2021 11:53 am IST</v>
      </c>
      <c r="N12" t="s">
        <v>939</v>
      </c>
      <c r="O12" s="7" t="str">
        <f t="shared" si="2"/>
        <v>Sat 4 Sept 2021 11:53 am</v>
      </c>
      <c r="P12" s="7">
        <v>44443</v>
      </c>
      <c r="Q12" t="s">
        <v>790</v>
      </c>
      <c r="R12" s="11" t="s">
        <v>89</v>
      </c>
      <c r="S12" t="str">
        <f t="shared" si="1"/>
        <v>FARIDABAD</v>
      </c>
      <c r="T12" t="s">
        <v>986</v>
      </c>
      <c r="U12" t="s">
        <v>1056</v>
      </c>
      <c r="V12" s="25">
        <v>449</v>
      </c>
      <c r="W12" s="18">
        <v>84.102000000000004</v>
      </c>
      <c r="X12" t="s">
        <v>1108</v>
      </c>
      <c r="Y12" t="s">
        <v>1110</v>
      </c>
      <c r="Z12" s="32" t="str">
        <f t="array" ref="Z12">IF(ISNUMBER(SEARCH("lipstick",G12)),"lipstick cases,","")&amp; IF(ISNUMBER(SEARCH("piggy",G12)),"Piggy coin bank ","")&amp;IF(ISNUMBER(SEARCH("Jewelry",G12)),"Jewelry box ","")&amp; IF(ISNUMBER(SEARCH("clutch",G12)),"Clutch purse,","")&amp; IF(ISNUMBER(SEARCH("wallet",G12)),"Wallet ","")&amp; IF(ISNUMBER(SEARCH("sling",G12)),"Sling bag ", "")&amp; IF(ISNUMBER(SEARCH("shoulder bag",G12)),"Shoulder bag,","")&amp; IF(ISNUMBER(SEARCH("Handbag",G12)),"Handbag","")</f>
        <v xml:space="preserve">Piggy coin bank </v>
      </c>
      <c r="AA12" t="s">
        <v>1130</v>
      </c>
    </row>
    <row r="13" spans="1:27" ht="15.6" x14ac:dyDescent="0.3">
      <c r="A13" s="2" t="s">
        <v>93</v>
      </c>
      <c r="B13" s="5" t="s">
        <v>94</v>
      </c>
      <c r="C13" s="2" t="s">
        <v>95</v>
      </c>
      <c r="D13" s="2" t="s">
        <v>96</v>
      </c>
      <c r="E13" s="2" t="s">
        <v>97</v>
      </c>
      <c r="F13" s="2" t="s">
        <v>28</v>
      </c>
      <c r="G13" s="2" t="s">
        <v>29</v>
      </c>
      <c r="H13" s="20">
        <v>1</v>
      </c>
      <c r="I13" s="13">
        <v>449</v>
      </c>
      <c r="J13" s="13">
        <v>60.18</v>
      </c>
      <c r="K13" s="2" t="s">
        <v>21</v>
      </c>
      <c r="L13" s="2" t="s">
        <v>22</v>
      </c>
      <c r="M13" t="str">
        <f t="shared" si="0"/>
        <v>Tue 16 Nov 2021 7:43 am IST</v>
      </c>
      <c r="N13" t="s">
        <v>936</v>
      </c>
      <c r="O13" s="7" t="str">
        <f t="shared" si="2"/>
        <v>Tue 16 Nov 2021 7:43 am</v>
      </c>
      <c r="P13" s="7">
        <v>44516</v>
      </c>
      <c r="Q13" t="s">
        <v>791</v>
      </c>
      <c r="R13" s="11" t="s">
        <v>95</v>
      </c>
      <c r="S13" t="str">
        <f t="shared" si="1"/>
        <v>AGARTALA</v>
      </c>
      <c r="T13" t="s">
        <v>987</v>
      </c>
      <c r="U13" t="s">
        <v>1057</v>
      </c>
      <c r="V13" s="25">
        <v>449</v>
      </c>
      <c r="W13" s="18">
        <v>84.102999999999994</v>
      </c>
      <c r="X13" t="s">
        <v>1108</v>
      </c>
      <c r="Y13" t="s">
        <v>1110</v>
      </c>
      <c r="Z13" s="32" t="str">
        <f t="array" ref="Z13">IF(ISNUMBER(SEARCH("lipstick",G13)),"lipstick cases,","")&amp; IF(ISNUMBER(SEARCH("piggy",G13)),"Piggy coin bank ","")&amp;IF(ISNUMBER(SEARCH("Jewelry",G13)),"Jewelry box ","")&amp; IF(ISNUMBER(SEARCH("clutch",G13)),"Clutch purse,","")&amp; IF(ISNUMBER(SEARCH("wallet",G13)),"Wallet ","")&amp; IF(ISNUMBER(SEARCH("sling",G13)),"Sling bag ", "")&amp; IF(ISNUMBER(SEARCH("shoulder bag",G13)),"Shoulder bag,","")&amp; IF(ISNUMBER(SEARCH("Handbag",G13)),"Handbag","")</f>
        <v xml:space="preserve">lipstick cases,Jewelry box </v>
      </c>
      <c r="AA13" t="s">
        <v>1129</v>
      </c>
    </row>
    <row r="14" spans="1:27" ht="15.6" x14ac:dyDescent="0.3">
      <c r="A14" s="2" t="s">
        <v>98</v>
      </c>
      <c r="B14" s="5" t="s">
        <v>99</v>
      </c>
      <c r="C14" s="2" t="s">
        <v>100</v>
      </c>
      <c r="D14" s="2" t="s">
        <v>101</v>
      </c>
      <c r="E14" s="2" t="s">
        <v>102</v>
      </c>
      <c r="F14" s="2" t="s">
        <v>103</v>
      </c>
      <c r="G14" s="2" t="s">
        <v>104</v>
      </c>
      <c r="H14" s="20">
        <v>1</v>
      </c>
      <c r="I14" s="13">
        <v>449</v>
      </c>
      <c r="J14" s="13">
        <v>84.96</v>
      </c>
      <c r="K14" s="2" t="s">
        <v>40</v>
      </c>
      <c r="L14" s="2" t="s">
        <v>22</v>
      </c>
      <c r="M14" t="str">
        <f t="shared" si="0"/>
        <v>Sat 16 Oct 2021 10:11 am IST</v>
      </c>
      <c r="N14" t="s">
        <v>939</v>
      </c>
      <c r="O14" s="7" t="str">
        <f t="shared" si="2"/>
        <v>Sat 16 Oct 2021 10:11 am</v>
      </c>
      <c r="P14" s="7">
        <v>44485</v>
      </c>
      <c r="Q14" t="s">
        <v>792</v>
      </c>
      <c r="R14" s="11" t="s">
        <v>100</v>
      </c>
      <c r="S14" t="str">
        <f t="shared" si="1"/>
        <v>COONOOR</v>
      </c>
      <c r="T14" t="s">
        <v>988</v>
      </c>
      <c r="U14" t="s">
        <v>1058</v>
      </c>
      <c r="V14" s="25">
        <v>449</v>
      </c>
      <c r="W14" s="18">
        <v>84.103999999999999</v>
      </c>
      <c r="X14" t="s">
        <v>1109</v>
      </c>
      <c r="Y14" t="s">
        <v>1110</v>
      </c>
      <c r="Z14" s="32" t="str">
        <f t="array" ref="Z14">IF(ISNUMBER(SEARCH("lipstick",G14)),"lipstick cases,","")&amp; IF(ISNUMBER(SEARCH("piggy",G14)),"Piggy coin bank ","")&amp;IF(ISNUMBER(SEARCH("Jewelry",G14)),"Jewelry box ","")&amp; IF(ISNUMBER(SEARCH("clutch",G14)),"Clutch purse,","")&amp; IF(ISNUMBER(SEARCH("wallet",G14)),"Wallet ","")&amp; IF(ISNUMBER(SEARCH("sling",G14)),"Sling bag ", "")&amp; IF(ISNUMBER(SEARCH("shoulder bag",G14)),"Shoulder bag,","")&amp; IF(ISNUMBER(SEARCH("Handbag",G14)),"Handbag","")</f>
        <v xml:space="preserve">Piggy coin bank </v>
      </c>
      <c r="AA14" t="s">
        <v>1128</v>
      </c>
    </row>
    <row r="15" spans="1:27" ht="15.6" x14ac:dyDescent="0.3">
      <c r="A15" s="2" t="s">
        <v>105</v>
      </c>
      <c r="B15" s="5" t="s">
        <v>106</v>
      </c>
      <c r="C15" s="2" t="s">
        <v>107</v>
      </c>
      <c r="D15" s="2" t="s">
        <v>108</v>
      </c>
      <c r="E15" s="2" t="s">
        <v>45</v>
      </c>
      <c r="F15" s="2" t="s">
        <v>109</v>
      </c>
      <c r="G15" s="2" t="s">
        <v>110</v>
      </c>
      <c r="H15" s="20">
        <v>1</v>
      </c>
      <c r="I15" s="13">
        <v>1099</v>
      </c>
      <c r="J15" s="13">
        <v>84.96</v>
      </c>
      <c r="K15" s="2" t="s">
        <v>21</v>
      </c>
      <c r="L15" s="2" t="s">
        <v>22</v>
      </c>
      <c r="M15" t="str">
        <f t="shared" si="0"/>
        <v>Mon 4 Oct 2021 10:05 am IST</v>
      </c>
      <c r="N15" t="s">
        <v>940</v>
      </c>
      <c r="O15" s="7" t="str">
        <f t="shared" si="2"/>
        <v>Mon 4 Oct 2021 10:05 am</v>
      </c>
      <c r="P15" s="7">
        <v>44473</v>
      </c>
      <c r="Q15" t="s">
        <v>793</v>
      </c>
      <c r="R15" s="11" t="s">
        <v>107</v>
      </c>
      <c r="S15" t="str">
        <f t="shared" si="1"/>
        <v>PUNE</v>
      </c>
      <c r="T15" t="s">
        <v>989</v>
      </c>
      <c r="U15" t="s">
        <v>339</v>
      </c>
      <c r="V15" s="25">
        <v>1099</v>
      </c>
      <c r="W15" s="14">
        <v>84.105000000000004</v>
      </c>
      <c r="X15" t="s">
        <v>1108</v>
      </c>
      <c r="Y15" t="s">
        <v>1110</v>
      </c>
      <c r="Z15" s="32" t="str">
        <f t="array" ref="Z15">IF(ISNUMBER(SEARCH("lipstick",G15)),"lipstick cases,","")&amp; IF(ISNUMBER(SEARCH("piggy",G15)),"Piggy coin bank ","")&amp;IF(ISNUMBER(SEARCH("Jewelry",G15)),"Jewelry box ","")&amp; IF(ISNUMBER(SEARCH("clutch",G15)),"Clutch purse,","")&amp; IF(ISNUMBER(SEARCH("wallet",G15)),"Wallet ","")&amp; IF(ISNUMBER(SEARCH("sling",G15)),"Sling bag ", "")&amp; IF(ISNUMBER(SEARCH("shoulder bag",G15)),"Shoulder bag,","")&amp; IF(ISNUMBER(SEARCH("Handbag",G15)),"Handbag","")</f>
        <v xml:space="preserve">Sling bag </v>
      </c>
      <c r="AA15" t="s">
        <v>1128</v>
      </c>
    </row>
    <row r="16" spans="1:27" ht="15.6" x14ac:dyDescent="0.3">
      <c r="A16" s="2" t="s">
        <v>111</v>
      </c>
      <c r="B16" s="5" t="s">
        <v>112</v>
      </c>
      <c r="C16" s="2" t="s">
        <v>113</v>
      </c>
      <c r="D16" s="2" t="s">
        <v>114</v>
      </c>
      <c r="E16" s="2" t="s">
        <v>45</v>
      </c>
      <c r="F16" s="2" t="s">
        <v>115</v>
      </c>
      <c r="G16" s="2" t="s">
        <v>116</v>
      </c>
      <c r="H16" s="20">
        <v>1</v>
      </c>
      <c r="I16" s="9" t="s">
        <v>21</v>
      </c>
      <c r="J16" s="13">
        <v>84.96</v>
      </c>
      <c r="K16" s="2" t="s">
        <v>40</v>
      </c>
      <c r="L16" s="2" t="s">
        <v>65</v>
      </c>
      <c r="M16" t="str">
        <f t="shared" si="0"/>
        <v>Thu 14 Oct 2021 11:14 pm IST</v>
      </c>
      <c r="N16" t="s">
        <v>938</v>
      </c>
      <c r="O16" s="7" t="str">
        <f t="shared" si="2"/>
        <v>Thu 14 Oct 2021 11:14 pm</v>
      </c>
      <c r="P16" s="7">
        <v>44483</v>
      </c>
      <c r="Q16" t="s">
        <v>794</v>
      </c>
      <c r="R16" s="11" t="s">
        <v>113</v>
      </c>
      <c r="S16" t="str">
        <f t="shared" si="1"/>
        <v>MANTHA</v>
      </c>
      <c r="T16" t="s">
        <v>990</v>
      </c>
      <c r="U16" t="s">
        <v>339</v>
      </c>
      <c r="V16" s="25" t="s">
        <v>21</v>
      </c>
      <c r="W16" s="14">
        <v>84.105999999999995</v>
      </c>
      <c r="X16" t="s">
        <v>1109</v>
      </c>
      <c r="Y16" t="s">
        <v>1111</v>
      </c>
      <c r="Z16" s="32" t="str">
        <f t="array" ref="Z16">IF(ISNUMBER(SEARCH("lipstick",G16)),"lipstick cases,","")&amp; IF(ISNUMBER(SEARCH("piggy",G16)),"Piggy coin bank ","")&amp;IF(ISNUMBER(SEARCH("Jewelry",G16)),"Jewelry box ","")&amp; IF(ISNUMBER(SEARCH("clutch",G16)),"Clutch purse,","")&amp; IF(ISNUMBER(SEARCH("wallet",G16)),"Wallet ","")&amp; IF(ISNUMBER(SEARCH("sling",G16)),"Sling bag ", "")&amp; IF(ISNUMBER(SEARCH("shoulder bag",G16)),"Shoulder bag,","")&amp; IF(ISNUMBER(SEARCH("Handbag",G16)),"Handbag","")</f>
        <v xml:space="preserve">Wallet </v>
      </c>
      <c r="AA16" t="s">
        <v>1128</v>
      </c>
    </row>
    <row r="17" spans="1:27" ht="15.6" x14ac:dyDescent="0.3">
      <c r="A17" s="2" t="s">
        <v>117</v>
      </c>
      <c r="B17" s="5" t="s">
        <v>118</v>
      </c>
      <c r="C17" s="2" t="s">
        <v>119</v>
      </c>
      <c r="D17" s="2" t="s">
        <v>120</v>
      </c>
      <c r="E17" s="2" t="s">
        <v>54</v>
      </c>
      <c r="F17" s="2" t="s">
        <v>46</v>
      </c>
      <c r="G17" s="2" t="s">
        <v>47</v>
      </c>
      <c r="H17" s="20">
        <v>1</v>
      </c>
      <c r="I17" s="13">
        <v>1099</v>
      </c>
      <c r="J17" s="13">
        <v>62.54</v>
      </c>
      <c r="K17" s="2" t="s">
        <v>21</v>
      </c>
      <c r="L17" s="2" t="s">
        <v>22</v>
      </c>
      <c r="M17" t="str">
        <f t="shared" si="0"/>
        <v>Sun 5 Sept 2021 9:10 am IST</v>
      </c>
      <c r="N17" t="s">
        <v>935</v>
      </c>
      <c r="O17" s="7" t="str">
        <f t="shared" si="2"/>
        <v>Sun 5 Sept 2021 9:10 am</v>
      </c>
      <c r="P17" s="7">
        <v>44444</v>
      </c>
      <c r="Q17" t="s">
        <v>795</v>
      </c>
      <c r="R17" s="11" t="s">
        <v>119</v>
      </c>
      <c r="S17" t="str">
        <f t="shared" si="1"/>
        <v>KOLKATA</v>
      </c>
      <c r="T17" t="s">
        <v>991</v>
      </c>
      <c r="U17" t="s">
        <v>1052</v>
      </c>
      <c r="V17" s="25">
        <v>1099</v>
      </c>
      <c r="W17" s="14">
        <v>84.106999999999999</v>
      </c>
      <c r="X17" t="s">
        <v>1108</v>
      </c>
      <c r="Y17" t="s">
        <v>1110</v>
      </c>
      <c r="Z17" s="32" t="str">
        <f t="array" ref="Z17">IF(ISNUMBER(SEARCH("lipstick",G17)),"lipstick cases,","")&amp; IF(ISNUMBER(SEARCH("piggy",G17)),"Piggy coin bank ","")&amp;IF(ISNUMBER(SEARCH("Jewelry",G17)),"Jewelry box ","")&amp; IF(ISNUMBER(SEARCH("clutch",G17)),"Clutch purse,","")&amp; IF(ISNUMBER(SEARCH("wallet",G17)),"Wallet ","")&amp; IF(ISNUMBER(SEARCH("sling",G17)),"Sling bag ", "")&amp; IF(ISNUMBER(SEARCH("shoulder bag",G17)),"Shoulder bag,","")&amp; IF(ISNUMBER(SEARCH("Handbag",G17)),"Handbag","")</f>
        <v xml:space="preserve">Sling bag </v>
      </c>
      <c r="AA17" t="s">
        <v>1130</v>
      </c>
    </row>
    <row r="18" spans="1:27" ht="15.6" x14ac:dyDescent="0.3">
      <c r="A18" s="2" t="s">
        <v>122</v>
      </c>
      <c r="B18" s="5" t="s">
        <v>123</v>
      </c>
      <c r="C18" s="2" t="s">
        <v>124</v>
      </c>
      <c r="D18" s="2" t="s">
        <v>125</v>
      </c>
      <c r="E18" s="2" t="s">
        <v>77</v>
      </c>
      <c r="F18" s="2" t="s">
        <v>63</v>
      </c>
      <c r="G18" s="2" t="s">
        <v>64</v>
      </c>
      <c r="H18" s="20">
        <v>1</v>
      </c>
      <c r="I18" s="13">
        <v>649</v>
      </c>
      <c r="J18" s="13">
        <v>81.42</v>
      </c>
      <c r="K18" s="2" t="s">
        <v>40</v>
      </c>
      <c r="L18" s="2" t="s">
        <v>22</v>
      </c>
      <c r="M18" t="str">
        <f t="shared" si="0"/>
        <v>Wed 25 Aug 2021 7:48 am IST</v>
      </c>
      <c r="N18" t="s">
        <v>937</v>
      </c>
      <c r="O18" s="7" t="str">
        <f t="shared" si="2"/>
        <v>Wed 25 Aug 2021 7:48 am</v>
      </c>
      <c r="P18" s="7">
        <v>44433</v>
      </c>
      <c r="Q18" t="s">
        <v>796</v>
      </c>
      <c r="R18" s="11" t="s">
        <v>124</v>
      </c>
      <c r="S18" t="str">
        <f t="shared" si="1"/>
        <v>MAHALINGPUR</v>
      </c>
      <c r="T18" t="s">
        <v>992</v>
      </c>
      <c r="U18" t="s">
        <v>1054</v>
      </c>
      <c r="V18" s="25">
        <v>649</v>
      </c>
      <c r="W18" s="14">
        <v>84.108000000000004</v>
      </c>
      <c r="X18" t="s">
        <v>1109</v>
      </c>
      <c r="Y18" t="s">
        <v>1110</v>
      </c>
      <c r="Z18" s="32" t="str">
        <f t="array" ref="Z18">IF(ISNUMBER(SEARCH("lipstick",G18)),"lipstick cases,","")&amp; IF(ISNUMBER(SEARCH("piggy",G18)),"Piggy coin bank ","")&amp;IF(ISNUMBER(SEARCH("Jewelry",G18)),"Jewelry box ","")&amp; IF(ISNUMBER(SEARCH("clutch",G18)),"Clutch purse,","")&amp; IF(ISNUMBER(SEARCH("wallet",G18)),"Wallet ","")&amp; IF(ISNUMBER(SEARCH("sling",G18)),"Sling bag ", "")&amp; IF(ISNUMBER(SEARCH("shoulder bag",G18)),"Shoulder bag,","")&amp; IF(ISNUMBER(SEARCH("Handbag",G18)),"Handbag","")</f>
        <v xml:space="preserve">Wallet </v>
      </c>
      <c r="AA18" t="s">
        <v>1132</v>
      </c>
    </row>
    <row r="19" spans="1:27" ht="15.6" x14ac:dyDescent="0.3">
      <c r="A19" s="2" t="s">
        <v>128</v>
      </c>
      <c r="B19" s="5" t="s">
        <v>129</v>
      </c>
      <c r="C19" s="2" t="s">
        <v>130</v>
      </c>
      <c r="D19" s="2" t="s">
        <v>44</v>
      </c>
      <c r="E19" s="2" t="s">
        <v>45</v>
      </c>
      <c r="F19" s="2" t="s">
        <v>131</v>
      </c>
      <c r="G19" s="2" t="s">
        <v>132</v>
      </c>
      <c r="H19" s="20">
        <v>1</v>
      </c>
      <c r="I19" s="13">
        <v>449</v>
      </c>
      <c r="J19" s="13">
        <v>84.96</v>
      </c>
      <c r="K19" s="2" t="s">
        <v>21</v>
      </c>
      <c r="L19" s="2" t="s">
        <v>22</v>
      </c>
      <c r="M19" t="str">
        <f t="shared" si="0"/>
        <v>Sat 27 Nov 2021 12:46 pm IST</v>
      </c>
      <c r="N19" t="s">
        <v>939</v>
      </c>
      <c r="O19" s="7" t="str">
        <f t="shared" si="2"/>
        <v>Sat 27 Nov 2021 12:46 pm</v>
      </c>
      <c r="P19" s="7">
        <v>44527</v>
      </c>
      <c r="Q19" t="s">
        <v>797</v>
      </c>
      <c r="R19" s="11" t="s">
        <v>945</v>
      </c>
      <c r="S19" t="str">
        <f t="shared" si="1"/>
        <v>MUMBAI</v>
      </c>
      <c r="T19" t="s">
        <v>980</v>
      </c>
      <c r="U19" t="s">
        <v>339</v>
      </c>
      <c r="V19" s="25">
        <v>449</v>
      </c>
      <c r="W19" s="14">
        <v>84.108999999999995</v>
      </c>
      <c r="X19" t="s">
        <v>1108</v>
      </c>
      <c r="Y19" t="s">
        <v>1110</v>
      </c>
      <c r="Z19" s="32" t="str">
        <f t="array" ref="Z19">IF(ISNUMBER(SEARCH("lipstick",G19)),"lipstick cases,","")&amp; IF(ISNUMBER(SEARCH("piggy",G19)),"Piggy coin bank ","")&amp;IF(ISNUMBER(SEARCH("Jewelry",G19)),"Jewelry box ","")&amp; IF(ISNUMBER(SEARCH("clutch",G19)),"Clutch purse,","")&amp; IF(ISNUMBER(SEARCH("wallet",G19)),"Wallet ","")&amp; IF(ISNUMBER(SEARCH("sling",G19)),"Sling bag ", "")&amp; IF(ISNUMBER(SEARCH("shoulder bag",G19)),"Shoulder bag,","")&amp; IF(ISNUMBER(SEARCH("Handbag",G19)),"Handbag","")</f>
        <v xml:space="preserve">Piggy coin bank </v>
      </c>
      <c r="AA19" t="s">
        <v>1129</v>
      </c>
    </row>
    <row r="20" spans="1:27" ht="15.6" x14ac:dyDescent="0.3">
      <c r="A20" s="2" t="s">
        <v>133</v>
      </c>
      <c r="B20" s="5" t="s">
        <v>134</v>
      </c>
      <c r="C20" s="2" t="s">
        <v>135</v>
      </c>
      <c r="D20" s="2" t="s">
        <v>136</v>
      </c>
      <c r="E20" s="2" t="s">
        <v>37</v>
      </c>
      <c r="F20" s="2" t="s">
        <v>137</v>
      </c>
      <c r="G20" s="2" t="s">
        <v>138</v>
      </c>
      <c r="H20" s="20">
        <v>1</v>
      </c>
      <c r="I20" s="13">
        <v>399</v>
      </c>
      <c r="J20" s="13">
        <v>84.96</v>
      </c>
      <c r="K20" s="2" t="s">
        <v>21</v>
      </c>
      <c r="L20" s="2" t="s">
        <v>22</v>
      </c>
      <c r="M20" t="str">
        <f t="shared" si="0"/>
        <v>Sun 21 Nov 2021 1:08 pm IST</v>
      </c>
      <c r="N20" t="s">
        <v>935</v>
      </c>
      <c r="O20" s="7" t="str">
        <f t="shared" si="2"/>
        <v>Sun 21 Nov 2021 1:08 pm</v>
      </c>
      <c r="P20" s="7">
        <v>44521</v>
      </c>
      <c r="Q20" t="s">
        <v>798</v>
      </c>
      <c r="R20" s="11" t="s">
        <v>946</v>
      </c>
      <c r="S20" t="str">
        <f t="shared" si="1"/>
        <v>HYDERABAD</v>
      </c>
      <c r="T20" t="s">
        <v>993</v>
      </c>
      <c r="U20" t="s">
        <v>1051</v>
      </c>
      <c r="V20" s="25">
        <v>399</v>
      </c>
      <c r="W20" s="14">
        <v>84.11</v>
      </c>
      <c r="X20" t="s">
        <v>1108</v>
      </c>
      <c r="Y20" t="s">
        <v>1110</v>
      </c>
      <c r="Z20" s="32" t="str">
        <f t="array" ref="Z20">IF(ISNUMBER(SEARCH("lipstick",G20)),"lipstick cases,","")&amp; IF(ISNUMBER(SEARCH("piggy",G20)),"Piggy coin bank ","")&amp;IF(ISNUMBER(SEARCH("Jewelry",G20)),"Jewelry box ","")&amp; IF(ISNUMBER(SEARCH("clutch",G20)),"Clutch purse,","")&amp; IF(ISNUMBER(SEARCH("wallet",G20)),"Wallet ","")&amp; IF(ISNUMBER(SEARCH("sling",G20)),"Sling bag ", "")&amp; IF(ISNUMBER(SEARCH("shoulder bag",G20)),"Shoulder bag,","")&amp; IF(ISNUMBER(SEARCH("Handbag",G20)),"Handbag","")</f>
        <v xml:space="preserve">Jewelry box </v>
      </c>
      <c r="AA20" t="s">
        <v>1129</v>
      </c>
    </row>
    <row r="21" spans="1:27" ht="15.6" x14ac:dyDescent="0.3">
      <c r="A21" s="2" t="s">
        <v>139</v>
      </c>
      <c r="B21" s="5" t="s">
        <v>140</v>
      </c>
      <c r="C21" s="2" t="s">
        <v>141</v>
      </c>
      <c r="D21" s="2" t="s">
        <v>44</v>
      </c>
      <c r="E21" s="2" t="s">
        <v>45</v>
      </c>
      <c r="F21" s="2" t="s">
        <v>70</v>
      </c>
      <c r="G21" s="2" t="s">
        <v>71</v>
      </c>
      <c r="H21" s="20">
        <v>1</v>
      </c>
      <c r="I21" s="13">
        <v>399</v>
      </c>
      <c r="J21" s="13">
        <v>84.96</v>
      </c>
      <c r="K21" s="2" t="s">
        <v>40</v>
      </c>
      <c r="L21" s="2" t="s">
        <v>22</v>
      </c>
      <c r="M21" t="str">
        <f t="shared" si="0"/>
        <v>Fri 1 Oct 2021 11:34 pm IST</v>
      </c>
      <c r="N21" t="s">
        <v>941</v>
      </c>
      <c r="O21" s="7" t="str">
        <f t="shared" si="2"/>
        <v>Fri 1 Oct 2021 11:34 pm</v>
      </c>
      <c r="P21" s="7">
        <v>44470</v>
      </c>
      <c r="Q21" t="s">
        <v>799</v>
      </c>
      <c r="R21" s="11" t="s">
        <v>141</v>
      </c>
      <c r="S21" t="str">
        <f t="shared" si="1"/>
        <v>MUMBAI</v>
      </c>
      <c r="T21" t="s">
        <v>980</v>
      </c>
      <c r="U21" t="s">
        <v>339</v>
      </c>
      <c r="V21" s="25">
        <v>400</v>
      </c>
      <c r="W21" s="14">
        <v>84.111000000000004</v>
      </c>
      <c r="X21" t="s">
        <v>1109</v>
      </c>
      <c r="Y21" t="s">
        <v>1110</v>
      </c>
      <c r="Z21" s="32" t="str">
        <f t="array" ref="Z21">IF(ISNUMBER(SEARCH("lipstick",G21)),"lipstick cases,","")&amp; IF(ISNUMBER(SEARCH("piggy",G21)),"Piggy coin bank ","")&amp;IF(ISNUMBER(SEARCH("Jewelry",G21)),"Jewelry box ","")&amp; IF(ISNUMBER(SEARCH("clutch",G21)),"Clutch purse,","")&amp; IF(ISNUMBER(SEARCH("wallet",G21)),"Wallet ","")&amp; IF(ISNUMBER(SEARCH("sling",G21)),"Sling bag ", "")&amp; IF(ISNUMBER(SEARCH("shoulder bag",G21)),"Shoulder bag,","")&amp; IF(ISNUMBER(SEARCH("Handbag",G21)),"Handbag","")</f>
        <v xml:space="preserve">Clutch purse,Wallet </v>
      </c>
      <c r="AA21" t="s">
        <v>1128</v>
      </c>
    </row>
    <row r="22" spans="1:27" ht="15.6" x14ac:dyDescent="0.3">
      <c r="A22" s="2" t="s">
        <v>142</v>
      </c>
      <c r="B22" s="5" t="s">
        <v>143</v>
      </c>
      <c r="C22" s="2" t="s">
        <v>144</v>
      </c>
      <c r="D22" s="2" t="s">
        <v>769</v>
      </c>
      <c r="E22" s="2" t="s">
        <v>45</v>
      </c>
      <c r="F22" s="2" t="s">
        <v>146</v>
      </c>
      <c r="G22" s="2" t="s">
        <v>147</v>
      </c>
      <c r="H22" s="20">
        <v>1</v>
      </c>
      <c r="I22" s="13">
        <v>399</v>
      </c>
      <c r="J22" s="13">
        <v>84.96</v>
      </c>
      <c r="K22" s="2"/>
      <c r="L22" s="2" t="s">
        <v>22</v>
      </c>
      <c r="M22" t="str">
        <f t="shared" si="0"/>
        <v>Fri 10 Sept 2021 8:36 pm IST</v>
      </c>
      <c r="N22" t="s">
        <v>941</v>
      </c>
      <c r="O22" s="7" t="str">
        <f t="shared" si="2"/>
        <v>Fri 10 Sept 2021 8:36 pm</v>
      </c>
      <c r="P22" s="7">
        <v>44449</v>
      </c>
      <c r="Q22" t="s">
        <v>800</v>
      </c>
      <c r="R22" s="11" t="s">
        <v>144</v>
      </c>
      <c r="S22" t="str">
        <f t="shared" si="1"/>
        <v xml:space="preserve">MUMBAI </v>
      </c>
      <c r="T22" t="s">
        <v>994</v>
      </c>
      <c r="U22" t="s">
        <v>339</v>
      </c>
      <c r="V22" s="25">
        <v>401</v>
      </c>
      <c r="W22" s="14">
        <v>84.111999999999995</v>
      </c>
      <c r="X22" t="s">
        <v>1108</v>
      </c>
      <c r="Y22" t="s">
        <v>1110</v>
      </c>
      <c r="Z22" s="32" t="str">
        <f t="array" ref="Z22">IF(ISNUMBER(SEARCH("lipstick",G22)),"lipstick cases,","")&amp; IF(ISNUMBER(SEARCH("piggy",G22)),"Piggy coin bank ","")&amp;IF(ISNUMBER(SEARCH("Jewelry",G22)),"Jewelry box ","")&amp; IF(ISNUMBER(SEARCH("clutch",G22)),"Clutch purse,","")&amp; IF(ISNUMBER(SEARCH("wallet",G22)),"Wallet ","")&amp; IF(ISNUMBER(SEARCH("sling",G22)),"Sling bag ", "")&amp; IF(ISNUMBER(SEARCH("shoulder bag",G22)),"Shoulder bag,","")&amp; IF(ISNUMBER(SEARCH("Handbag",G22)),"Handbag","")</f>
        <v xml:space="preserve">Clutch purse,Wallet </v>
      </c>
      <c r="AA22" t="s">
        <v>1130</v>
      </c>
    </row>
    <row r="23" spans="1:27" ht="15.6" x14ac:dyDescent="0.3">
      <c r="A23" s="2" t="s">
        <v>148</v>
      </c>
      <c r="B23" s="5" t="s">
        <v>149</v>
      </c>
      <c r="C23" s="2" t="s">
        <v>150</v>
      </c>
      <c r="D23" s="2" t="s">
        <v>151</v>
      </c>
      <c r="E23" s="2" t="s">
        <v>152</v>
      </c>
      <c r="F23" s="2" t="s">
        <v>28</v>
      </c>
      <c r="G23" s="2" t="s">
        <v>29</v>
      </c>
      <c r="H23" s="20">
        <v>1</v>
      </c>
      <c r="I23" s="13">
        <v>449</v>
      </c>
      <c r="J23" s="13">
        <v>60.18</v>
      </c>
      <c r="K23" s="2" t="s">
        <v>21</v>
      </c>
      <c r="L23" s="2" t="s">
        <v>22</v>
      </c>
      <c r="M23" t="str">
        <f t="shared" si="0"/>
        <v>Wed 10 Nov 2021 9:07 am IST</v>
      </c>
      <c r="N23" t="s">
        <v>937</v>
      </c>
      <c r="O23" s="7" t="str">
        <f t="shared" si="2"/>
        <v>Wed 10 Nov 2021 9:07 am</v>
      </c>
      <c r="P23" s="7">
        <v>44510</v>
      </c>
      <c r="Q23" t="s">
        <v>801</v>
      </c>
      <c r="R23" s="11" t="s">
        <v>150</v>
      </c>
      <c r="S23" t="str">
        <f t="shared" si="1"/>
        <v>CUTTACK</v>
      </c>
      <c r="T23" t="s">
        <v>995</v>
      </c>
      <c r="U23" t="s">
        <v>195</v>
      </c>
      <c r="V23" s="25">
        <v>402</v>
      </c>
      <c r="W23" s="14">
        <v>84.113</v>
      </c>
      <c r="X23" t="s">
        <v>1108</v>
      </c>
      <c r="Y23" t="s">
        <v>1110</v>
      </c>
      <c r="Z23" s="32" t="str">
        <f t="array" ref="Z23">IF(ISNUMBER(SEARCH("lipstick",G23)),"lipstick cases,","")&amp; IF(ISNUMBER(SEARCH("piggy",G23)),"Piggy coin bank ","")&amp;IF(ISNUMBER(SEARCH("Jewelry",G23)),"Jewelry box ","")&amp; IF(ISNUMBER(SEARCH("clutch",G23)),"Clutch purse,","")&amp; IF(ISNUMBER(SEARCH("wallet",G23)),"Wallet ","")&amp; IF(ISNUMBER(SEARCH("sling",G23)),"Sling bag ", "")&amp; IF(ISNUMBER(SEARCH("shoulder bag",G23)),"Shoulder bag,","")&amp; IF(ISNUMBER(SEARCH("Handbag",G23)),"Handbag","")</f>
        <v xml:space="preserve">lipstick cases,Jewelry box </v>
      </c>
      <c r="AA23" t="s">
        <v>1129</v>
      </c>
    </row>
    <row r="24" spans="1:27" ht="15.6" x14ac:dyDescent="0.3">
      <c r="A24" s="2" t="s">
        <v>153</v>
      </c>
      <c r="B24" s="5" t="s">
        <v>154</v>
      </c>
      <c r="C24" s="2" t="s">
        <v>155</v>
      </c>
      <c r="D24" s="2" t="s">
        <v>156</v>
      </c>
      <c r="E24" s="2" t="s">
        <v>91</v>
      </c>
      <c r="F24" s="2" t="s">
        <v>28</v>
      </c>
      <c r="G24" s="2" t="s">
        <v>29</v>
      </c>
      <c r="H24" s="20">
        <v>1</v>
      </c>
      <c r="I24" s="9" t="s">
        <v>21</v>
      </c>
      <c r="J24" s="13">
        <v>84.96</v>
      </c>
      <c r="K24" s="2" t="s">
        <v>21</v>
      </c>
      <c r="L24" s="2" t="s">
        <v>65</v>
      </c>
      <c r="M24" t="str">
        <f t="shared" si="0"/>
        <v>Fri 26 Nov 2021 7:22 pm IST</v>
      </c>
      <c r="N24" t="s">
        <v>941</v>
      </c>
      <c r="O24" s="7" t="str">
        <f t="shared" si="2"/>
        <v>Fri 26 Nov 2021 7:22 pm</v>
      </c>
      <c r="P24" s="7">
        <v>44526</v>
      </c>
      <c r="Q24" t="s">
        <v>802</v>
      </c>
      <c r="R24" s="11" t="s">
        <v>155</v>
      </c>
      <c r="S24" t="str">
        <f t="shared" si="1"/>
        <v>GURUGRAM</v>
      </c>
      <c r="T24" t="s">
        <v>996</v>
      </c>
      <c r="U24" t="s">
        <v>1056</v>
      </c>
      <c r="V24" s="25">
        <v>403</v>
      </c>
      <c r="W24" s="14">
        <v>84.114000000000004</v>
      </c>
      <c r="X24" t="s">
        <v>1108</v>
      </c>
      <c r="Y24" t="s">
        <v>1111</v>
      </c>
      <c r="Z24" s="32" t="str">
        <f t="array" ref="Z24">IF(ISNUMBER(SEARCH("lipstick",G24)),"lipstick cases,","")&amp; IF(ISNUMBER(SEARCH("piggy",G24)),"Piggy coin bank ","")&amp;IF(ISNUMBER(SEARCH("Jewelry",G24)),"Jewelry box ","")&amp; IF(ISNUMBER(SEARCH("clutch",G24)),"Clutch purse,","")&amp; IF(ISNUMBER(SEARCH("wallet",G24)),"Wallet ","")&amp; IF(ISNUMBER(SEARCH("sling",G24)),"Sling bag ", "")&amp; IF(ISNUMBER(SEARCH("shoulder bag",G24)),"Shoulder bag,","")&amp; IF(ISNUMBER(SEARCH("Handbag",G24)),"Handbag","")</f>
        <v xml:space="preserve">lipstick cases,Jewelry box </v>
      </c>
      <c r="AA24" t="s">
        <v>1129</v>
      </c>
    </row>
    <row r="25" spans="1:27" ht="15.6" x14ac:dyDescent="0.3">
      <c r="A25" s="2" t="s">
        <v>157</v>
      </c>
      <c r="B25" s="5" t="s">
        <v>158</v>
      </c>
      <c r="C25" s="2" t="s">
        <v>159</v>
      </c>
      <c r="D25" s="2" t="s">
        <v>76</v>
      </c>
      <c r="E25" s="2" t="s">
        <v>77</v>
      </c>
      <c r="F25" s="2" t="s">
        <v>146</v>
      </c>
      <c r="G25" s="2" t="s">
        <v>147</v>
      </c>
      <c r="H25" s="20">
        <v>1</v>
      </c>
      <c r="I25" s="13">
        <v>399</v>
      </c>
      <c r="J25" s="13">
        <v>84.96</v>
      </c>
      <c r="K25" s="2" t="s">
        <v>21</v>
      </c>
      <c r="L25" s="2" t="s">
        <v>22</v>
      </c>
      <c r="M25" t="str">
        <f t="shared" si="0"/>
        <v>Wed 20 Oct 2021 10:15 pm IST</v>
      </c>
      <c r="N25" t="s">
        <v>937</v>
      </c>
      <c r="O25" s="7" t="str">
        <f t="shared" si="2"/>
        <v>Wed 20 Oct 2021 10:15 pm</v>
      </c>
      <c r="P25" s="7">
        <v>44489</v>
      </c>
      <c r="Q25" t="s">
        <v>803</v>
      </c>
      <c r="R25" s="11" t="s">
        <v>159</v>
      </c>
      <c r="S25" t="str">
        <f t="shared" si="1"/>
        <v>BENGALURU</v>
      </c>
      <c r="T25" t="s">
        <v>984</v>
      </c>
      <c r="U25" t="s">
        <v>1054</v>
      </c>
      <c r="V25" s="25">
        <v>404</v>
      </c>
      <c r="W25" s="14">
        <v>84.114999999999995</v>
      </c>
      <c r="X25" t="s">
        <v>1108</v>
      </c>
      <c r="Y25" t="s">
        <v>1110</v>
      </c>
      <c r="Z25" s="32" t="str">
        <f t="array" ref="Z25">IF(ISNUMBER(SEARCH("lipstick",G25)),"lipstick cases,","")&amp; IF(ISNUMBER(SEARCH("piggy",G25)),"Piggy coin bank ","")&amp;IF(ISNUMBER(SEARCH("Jewelry",G25)),"Jewelry box ","")&amp; IF(ISNUMBER(SEARCH("clutch",G25)),"Clutch purse,","")&amp; IF(ISNUMBER(SEARCH("wallet",G25)),"Wallet ","")&amp; IF(ISNUMBER(SEARCH("sling",G25)),"Sling bag ", "")&amp; IF(ISNUMBER(SEARCH("shoulder bag",G25)),"Shoulder bag,","")&amp; IF(ISNUMBER(SEARCH("Handbag",G25)),"Handbag","")</f>
        <v xml:space="preserve">Clutch purse,Wallet </v>
      </c>
      <c r="AA25" t="s">
        <v>1128</v>
      </c>
    </row>
    <row r="26" spans="1:27" ht="15.6" x14ac:dyDescent="0.3">
      <c r="A26" s="2" t="s">
        <v>160</v>
      </c>
      <c r="B26" s="5" t="s">
        <v>161</v>
      </c>
      <c r="C26" s="2" t="s">
        <v>162</v>
      </c>
      <c r="D26" s="2" t="s">
        <v>44</v>
      </c>
      <c r="E26" s="2" t="s">
        <v>45</v>
      </c>
      <c r="F26" s="2" t="s">
        <v>163</v>
      </c>
      <c r="G26" s="2" t="s">
        <v>164</v>
      </c>
      <c r="H26" s="20">
        <v>1</v>
      </c>
      <c r="I26" s="9" t="s">
        <v>21</v>
      </c>
      <c r="J26" s="12" t="s">
        <v>21</v>
      </c>
      <c r="K26" s="2" t="s">
        <v>40</v>
      </c>
      <c r="L26" s="2" t="s">
        <v>65</v>
      </c>
      <c r="M26" t="str">
        <f t="shared" si="0"/>
        <v>Fri 25 Jun 2021 7:48 am IST</v>
      </c>
      <c r="N26" t="s">
        <v>941</v>
      </c>
      <c r="O26" s="7" t="str">
        <f t="shared" si="2"/>
        <v>Fri 25 Jun 2021 7:48 am</v>
      </c>
      <c r="P26" s="7">
        <v>44372</v>
      </c>
      <c r="Q26" t="s">
        <v>796</v>
      </c>
      <c r="R26" s="11" t="s">
        <v>162</v>
      </c>
      <c r="S26" t="str">
        <f t="shared" si="1"/>
        <v>MUMBAI</v>
      </c>
      <c r="T26" t="s">
        <v>980</v>
      </c>
      <c r="U26" t="s">
        <v>339</v>
      </c>
      <c r="V26" s="25">
        <v>405</v>
      </c>
      <c r="W26" s="14">
        <v>84.116</v>
      </c>
      <c r="X26" t="s">
        <v>1109</v>
      </c>
      <c r="Y26" t="s">
        <v>1111</v>
      </c>
      <c r="Z26" s="32" t="str">
        <f t="array" ref="Z26">IF(ISNUMBER(SEARCH("lipstick",G26)),"lipstick cases,","")&amp; IF(ISNUMBER(SEARCH("piggy",G26)),"Piggy coin bank ","")&amp;IF(ISNUMBER(SEARCH("Jewelry",G26)),"Jewelry box ","")&amp; IF(ISNUMBER(SEARCH("clutch",G26)),"Clutch purse,","")&amp; IF(ISNUMBER(SEARCH("wallet",G26)),"Wallet ","")&amp; IF(ISNUMBER(SEARCH("sling",G26)),"Sling bag ", "")&amp; IF(ISNUMBER(SEARCH("shoulder bag",G26)),"Shoulder bag,","")&amp; IF(ISNUMBER(SEARCH("Handbag",G26)),"Handbag","")</f>
        <v xml:space="preserve">Piggy coin bank </v>
      </c>
      <c r="AA26" t="s">
        <v>1131</v>
      </c>
    </row>
    <row r="27" spans="1:27" ht="15.6" x14ac:dyDescent="0.3">
      <c r="A27" s="2" t="s">
        <v>165</v>
      </c>
      <c r="B27" s="5" t="s">
        <v>166</v>
      </c>
      <c r="C27" s="2" t="s">
        <v>167</v>
      </c>
      <c r="D27" s="2" t="s">
        <v>168</v>
      </c>
      <c r="E27" s="2" t="s">
        <v>152</v>
      </c>
      <c r="F27" s="2" t="s">
        <v>63</v>
      </c>
      <c r="G27" s="2" t="s">
        <v>64</v>
      </c>
      <c r="H27" s="20">
        <v>1</v>
      </c>
      <c r="I27" s="13">
        <v>649</v>
      </c>
      <c r="J27" s="13">
        <v>60.18</v>
      </c>
      <c r="K27" s="2" t="s">
        <v>40</v>
      </c>
      <c r="L27" s="2" t="s">
        <v>22</v>
      </c>
      <c r="M27" t="str">
        <f t="shared" si="0"/>
        <v>Mon 6 Sept 2021 12:46 pm IST</v>
      </c>
      <c r="N27" t="s">
        <v>940</v>
      </c>
      <c r="O27" s="7" t="str">
        <f t="shared" si="2"/>
        <v>Mon 6 Sept 2021 12:46 pm</v>
      </c>
      <c r="P27" s="7">
        <v>44445</v>
      </c>
      <c r="Q27" t="s">
        <v>797</v>
      </c>
      <c r="R27" s="11" t="s">
        <v>167</v>
      </c>
      <c r="S27" t="str">
        <f t="shared" si="1"/>
        <v>JALESWAR</v>
      </c>
      <c r="T27" t="s">
        <v>997</v>
      </c>
      <c r="U27" t="s">
        <v>195</v>
      </c>
      <c r="V27" s="25">
        <v>406</v>
      </c>
      <c r="W27" s="14">
        <v>84.117000000000004</v>
      </c>
      <c r="X27" t="s">
        <v>1109</v>
      </c>
      <c r="Y27" t="s">
        <v>1110</v>
      </c>
      <c r="Z27" s="32" t="str">
        <f t="array" ref="Z27">IF(ISNUMBER(SEARCH("lipstick",G27)),"lipstick cases,","")&amp; IF(ISNUMBER(SEARCH("piggy",G27)),"Piggy coin bank ","")&amp;IF(ISNUMBER(SEARCH("Jewelry",G27)),"Jewelry box ","")&amp; IF(ISNUMBER(SEARCH("clutch",G27)),"Clutch purse,","")&amp; IF(ISNUMBER(SEARCH("wallet",G27)),"Wallet ","")&amp; IF(ISNUMBER(SEARCH("sling",G27)),"Sling bag ", "")&amp; IF(ISNUMBER(SEARCH("shoulder bag",G27)),"Shoulder bag,","")&amp; IF(ISNUMBER(SEARCH("Handbag",G27)),"Handbag","")</f>
        <v xml:space="preserve">Wallet </v>
      </c>
      <c r="AA27" t="s">
        <v>1130</v>
      </c>
    </row>
    <row r="28" spans="1:27" ht="15.6" x14ac:dyDescent="0.3">
      <c r="A28" s="2" t="s">
        <v>169</v>
      </c>
      <c r="B28" s="5" t="s">
        <v>170</v>
      </c>
      <c r="C28" s="2" t="s">
        <v>171</v>
      </c>
      <c r="D28" s="2" t="s">
        <v>172</v>
      </c>
      <c r="E28" s="2" t="s">
        <v>173</v>
      </c>
      <c r="F28" s="2" t="s">
        <v>38</v>
      </c>
      <c r="G28" s="2" t="s">
        <v>39</v>
      </c>
      <c r="H28" s="20">
        <v>1</v>
      </c>
      <c r="I28" s="13">
        <v>250</v>
      </c>
      <c r="J28" s="12" t="s">
        <v>21</v>
      </c>
      <c r="K28" s="2" t="s">
        <v>21</v>
      </c>
      <c r="L28" s="2" t="s">
        <v>22</v>
      </c>
      <c r="M28" t="str">
        <f t="shared" si="0"/>
        <v>Thu 22 Jul 2021 9:32 am IST</v>
      </c>
      <c r="N28" t="s">
        <v>938</v>
      </c>
      <c r="O28" s="7" t="str">
        <f t="shared" si="2"/>
        <v>Thu 22 Jul 2021 9:32 am</v>
      </c>
      <c r="P28" s="7">
        <v>44399</v>
      </c>
      <c r="Q28" t="s">
        <v>804</v>
      </c>
      <c r="R28" s="11" t="s">
        <v>171</v>
      </c>
      <c r="S28" t="str">
        <f t="shared" si="1"/>
        <v>VISAKHAPATNAM</v>
      </c>
      <c r="T28" t="s">
        <v>998</v>
      </c>
      <c r="U28" t="s">
        <v>736</v>
      </c>
      <c r="V28" s="25">
        <v>407</v>
      </c>
      <c r="W28" s="14">
        <v>84.117999999999995</v>
      </c>
      <c r="X28" t="s">
        <v>1108</v>
      </c>
      <c r="Y28" t="s">
        <v>1110</v>
      </c>
      <c r="Z28" s="32" t="str">
        <f t="array" ref="Z28">IF(ISNUMBER(SEARCH("lipstick",G28)),"lipstick cases,","")&amp; IF(ISNUMBER(SEARCH("piggy",G28)),"Piggy coin bank ","")&amp;IF(ISNUMBER(SEARCH("Jewelry",G28)),"Jewelry box ","")&amp; IF(ISNUMBER(SEARCH("clutch",G28)),"Clutch purse,","")&amp; IF(ISNUMBER(SEARCH("wallet",G28)),"Wallet ","")&amp; IF(ISNUMBER(SEARCH("sling",G28)),"Sling bag ", "")&amp; IF(ISNUMBER(SEARCH("shoulder bag",G28)),"Shoulder bag,","")&amp; IF(ISNUMBER(SEARCH("Handbag",G28)),"Handbag","")</f>
        <v xml:space="preserve">Jewelry box </v>
      </c>
      <c r="AA28" t="s">
        <v>1127</v>
      </c>
    </row>
    <row r="29" spans="1:27" ht="15.6" x14ac:dyDescent="0.3">
      <c r="A29" s="2" t="s">
        <v>175</v>
      </c>
      <c r="B29" s="5" t="s">
        <v>176</v>
      </c>
      <c r="C29" s="2" t="s">
        <v>177</v>
      </c>
      <c r="D29" s="2" t="s">
        <v>108</v>
      </c>
      <c r="E29" s="2" t="s">
        <v>45</v>
      </c>
      <c r="F29" s="2" t="s">
        <v>28</v>
      </c>
      <c r="G29" s="2" t="s">
        <v>29</v>
      </c>
      <c r="H29" s="20">
        <v>1</v>
      </c>
      <c r="I29" s="13">
        <v>449</v>
      </c>
      <c r="J29" s="13">
        <v>84.96</v>
      </c>
      <c r="K29" s="2" t="s">
        <v>40</v>
      </c>
      <c r="L29" s="2" t="s">
        <v>22</v>
      </c>
      <c r="M29" t="str">
        <f t="shared" si="0"/>
        <v>Fri 29 Oct 2021 6:58 am IST</v>
      </c>
      <c r="N29" t="s">
        <v>941</v>
      </c>
      <c r="O29" s="7" t="str">
        <f t="shared" si="2"/>
        <v>Fri 29 Oct 2021 6:58 am</v>
      </c>
      <c r="P29" s="7">
        <v>44498</v>
      </c>
      <c r="Q29" t="s">
        <v>805</v>
      </c>
      <c r="R29" s="11" t="s">
        <v>177</v>
      </c>
      <c r="S29" t="str">
        <f t="shared" si="1"/>
        <v>PUNE</v>
      </c>
      <c r="T29" t="s">
        <v>989</v>
      </c>
      <c r="U29" t="s">
        <v>339</v>
      </c>
      <c r="V29" s="25">
        <v>408</v>
      </c>
      <c r="W29" s="14">
        <v>84.119</v>
      </c>
      <c r="X29" t="s">
        <v>1109</v>
      </c>
      <c r="Y29" t="s">
        <v>1110</v>
      </c>
      <c r="Z29" s="32" t="str">
        <f t="array" ref="Z29">IF(ISNUMBER(SEARCH("lipstick",G29)),"lipstick cases,","")&amp; IF(ISNUMBER(SEARCH("piggy",G29)),"Piggy coin bank ","")&amp;IF(ISNUMBER(SEARCH("Jewelry",G29)),"Jewelry box ","")&amp; IF(ISNUMBER(SEARCH("clutch",G29)),"Clutch purse,","")&amp; IF(ISNUMBER(SEARCH("wallet",G29)),"Wallet ","")&amp; IF(ISNUMBER(SEARCH("sling",G29)),"Sling bag ", "")&amp; IF(ISNUMBER(SEARCH("shoulder bag",G29)),"Shoulder bag,","")&amp; IF(ISNUMBER(SEARCH("Handbag",G29)),"Handbag","")</f>
        <v xml:space="preserve">lipstick cases,Jewelry box </v>
      </c>
      <c r="AA29" t="s">
        <v>1128</v>
      </c>
    </row>
    <row r="30" spans="1:27" ht="15.6" x14ac:dyDescent="0.3">
      <c r="A30" s="2" t="s">
        <v>179</v>
      </c>
      <c r="B30" s="5" t="s">
        <v>180</v>
      </c>
      <c r="C30" s="2" t="s">
        <v>181</v>
      </c>
      <c r="D30" s="2" t="s">
        <v>182</v>
      </c>
      <c r="E30" s="2" t="s">
        <v>183</v>
      </c>
      <c r="F30" s="2" t="s">
        <v>184</v>
      </c>
      <c r="G30" s="2" t="s">
        <v>185</v>
      </c>
      <c r="H30" s="20">
        <v>1</v>
      </c>
      <c r="I30" s="13">
        <v>399</v>
      </c>
      <c r="J30" s="13">
        <v>84.96</v>
      </c>
      <c r="K30" s="2" t="s">
        <v>40</v>
      </c>
      <c r="L30" s="2" t="s">
        <v>22</v>
      </c>
      <c r="M30" t="str">
        <f t="shared" si="0"/>
        <v>Mon 20 Sept 2021 6:41 pm IST</v>
      </c>
      <c r="N30" t="s">
        <v>940</v>
      </c>
      <c r="O30" s="7" t="str">
        <f t="shared" si="2"/>
        <v>Mon 20 Sept 2021 6:41 pm</v>
      </c>
      <c r="P30" s="7">
        <v>44459</v>
      </c>
      <c r="Q30" t="s">
        <v>806</v>
      </c>
      <c r="R30" s="11" t="s">
        <v>947</v>
      </c>
      <c r="S30" t="str">
        <f t="shared" si="1"/>
        <v>NEW DELHI</v>
      </c>
      <c r="T30" t="s">
        <v>999</v>
      </c>
      <c r="U30" t="s">
        <v>1059</v>
      </c>
      <c r="V30" s="25">
        <v>409</v>
      </c>
      <c r="W30" s="25">
        <v>84.96</v>
      </c>
      <c r="X30" t="s">
        <v>1109</v>
      </c>
      <c r="Y30" t="s">
        <v>1110</v>
      </c>
      <c r="Z30" s="32" t="str">
        <f t="array" ref="Z30">IF(ISNUMBER(SEARCH("lipstick",G30)),"lipstick cases,","")&amp; IF(ISNUMBER(SEARCH("piggy",G30)),"Piggy coin bank ","")&amp;IF(ISNUMBER(SEARCH("Jewelry",G30)),"Jewelry box ","")&amp; IF(ISNUMBER(SEARCH("clutch",G30)),"Clutch purse,","")&amp; IF(ISNUMBER(SEARCH("wallet",G30)),"Wallet ","")&amp; IF(ISNUMBER(SEARCH("sling",G30)),"Sling bag ", "")&amp; IF(ISNUMBER(SEARCH("shoulder bag",G30)),"Shoulder bag,","")&amp; IF(ISNUMBER(SEARCH("Handbag",G30)),"Handbag","")</f>
        <v xml:space="preserve">Jewelry box </v>
      </c>
      <c r="AA30" t="s">
        <v>1130</v>
      </c>
    </row>
    <row r="31" spans="1:27" ht="15.6" x14ac:dyDescent="0.3">
      <c r="A31" s="2" t="s">
        <v>186</v>
      </c>
      <c r="B31" s="5" t="s">
        <v>187</v>
      </c>
      <c r="C31" s="2" t="s">
        <v>188</v>
      </c>
      <c r="D31" s="2" t="s">
        <v>189</v>
      </c>
      <c r="E31" s="2" t="s">
        <v>190</v>
      </c>
      <c r="F31" s="2" t="s">
        <v>28</v>
      </c>
      <c r="G31" s="2" t="s">
        <v>29</v>
      </c>
      <c r="H31" s="20">
        <v>1</v>
      </c>
      <c r="I31" s="13">
        <v>449</v>
      </c>
      <c r="J31" s="12" t="s">
        <v>21</v>
      </c>
      <c r="K31" s="2" t="s">
        <v>21</v>
      </c>
      <c r="L31" s="2" t="s">
        <v>22</v>
      </c>
      <c r="M31" t="str">
        <f t="shared" si="0"/>
        <v>Wed 4 Aug 2021 8:16 pm IST</v>
      </c>
      <c r="N31" t="s">
        <v>937</v>
      </c>
      <c r="O31" s="7" t="str">
        <f t="shared" si="2"/>
        <v>Wed 4 Aug 2021 8:16 pm</v>
      </c>
      <c r="P31" s="7">
        <v>44412</v>
      </c>
      <c r="Q31" t="s">
        <v>807</v>
      </c>
      <c r="R31" s="11" t="s">
        <v>948</v>
      </c>
      <c r="S31" t="str">
        <f t="shared" si="1"/>
        <v>RAIA</v>
      </c>
      <c r="T31" t="s">
        <v>1000</v>
      </c>
      <c r="U31" t="s">
        <v>1060</v>
      </c>
      <c r="V31" s="25">
        <v>410</v>
      </c>
      <c r="X31" t="s">
        <v>1108</v>
      </c>
      <c r="Y31" t="s">
        <v>1110</v>
      </c>
      <c r="Z31" s="32" t="str">
        <f t="array" ref="Z31">IF(ISNUMBER(SEARCH("lipstick",G31)),"lipstick cases,","")&amp; IF(ISNUMBER(SEARCH("piggy",G31)),"Piggy coin bank ","")&amp;IF(ISNUMBER(SEARCH("Jewelry",G31)),"Jewelry box ","")&amp; IF(ISNUMBER(SEARCH("clutch",G31)),"Clutch purse,","")&amp; IF(ISNUMBER(SEARCH("wallet",G31)),"Wallet ","")&amp; IF(ISNUMBER(SEARCH("sling",G31)),"Sling bag ", "")&amp; IF(ISNUMBER(SEARCH("shoulder bag",G31)),"Shoulder bag,","")&amp; IF(ISNUMBER(SEARCH("Handbag",G31)),"Handbag","")</f>
        <v xml:space="preserve">lipstick cases,Jewelry box </v>
      </c>
      <c r="AA31" t="s">
        <v>1132</v>
      </c>
    </row>
    <row r="32" spans="1:27" ht="15.6" x14ac:dyDescent="0.3">
      <c r="A32" s="2" t="s">
        <v>191</v>
      </c>
      <c r="B32" s="5" t="s">
        <v>192</v>
      </c>
      <c r="C32" s="2" t="s">
        <v>193</v>
      </c>
      <c r="D32" s="2" t="s">
        <v>194</v>
      </c>
      <c r="E32" s="2" t="s">
        <v>195</v>
      </c>
      <c r="F32" s="2" t="s">
        <v>28</v>
      </c>
      <c r="G32" s="2" t="s">
        <v>29</v>
      </c>
      <c r="H32" s="20">
        <v>1</v>
      </c>
      <c r="I32" s="13">
        <v>449</v>
      </c>
      <c r="J32" s="13">
        <v>60.18</v>
      </c>
      <c r="K32" s="2" t="s">
        <v>21</v>
      </c>
      <c r="L32" s="2" t="s">
        <v>22</v>
      </c>
      <c r="M32" t="str">
        <f t="shared" si="0"/>
        <v>Mon 11 Oct 2021 9:30 am IST</v>
      </c>
      <c r="N32" t="s">
        <v>940</v>
      </c>
      <c r="O32" s="7" t="str">
        <f t="shared" si="2"/>
        <v>Mon 11 Oct 2021 9:30 am</v>
      </c>
      <c r="P32" s="7">
        <v>44480</v>
      </c>
      <c r="Q32" t="s">
        <v>808</v>
      </c>
      <c r="R32" s="11" t="s">
        <v>193</v>
      </c>
      <c r="S32" t="str">
        <f t="shared" si="1"/>
        <v>Bhubaneswar</v>
      </c>
      <c r="T32" t="s">
        <v>1001</v>
      </c>
      <c r="U32" t="s">
        <v>195</v>
      </c>
      <c r="V32" s="25">
        <v>411</v>
      </c>
      <c r="W32" s="25">
        <v>60.18</v>
      </c>
      <c r="X32" t="s">
        <v>1108</v>
      </c>
      <c r="Y32" t="s">
        <v>1110</v>
      </c>
      <c r="Z32" s="32" t="str">
        <f t="array" ref="Z32">IF(ISNUMBER(SEARCH("lipstick",G32)),"lipstick cases,","")&amp; IF(ISNUMBER(SEARCH("piggy",G32)),"Piggy coin bank ","")&amp;IF(ISNUMBER(SEARCH("Jewelry",G32)),"Jewelry box ","")&amp; IF(ISNUMBER(SEARCH("clutch",G32)),"Clutch purse,","")&amp; IF(ISNUMBER(SEARCH("wallet",G32)),"Wallet ","")&amp; IF(ISNUMBER(SEARCH("sling",G32)),"Sling bag ", "")&amp; IF(ISNUMBER(SEARCH("shoulder bag",G32)),"Shoulder bag,","")&amp; IF(ISNUMBER(SEARCH("Handbag",G32)),"Handbag","")</f>
        <v xml:space="preserve">lipstick cases,Jewelry box </v>
      </c>
      <c r="AA32" t="s">
        <v>1128</v>
      </c>
    </row>
    <row r="33" spans="1:27" ht="15.6" x14ac:dyDescent="0.3">
      <c r="A33" s="2" t="s">
        <v>196</v>
      </c>
      <c r="B33" s="5" t="s">
        <v>197</v>
      </c>
      <c r="C33" s="2" t="s">
        <v>198</v>
      </c>
      <c r="D33" s="2" t="s">
        <v>199</v>
      </c>
      <c r="E33" s="2" t="s">
        <v>84</v>
      </c>
      <c r="F33" s="2" t="s">
        <v>200</v>
      </c>
      <c r="G33" s="2" t="s">
        <v>201</v>
      </c>
      <c r="H33" s="20">
        <v>1</v>
      </c>
      <c r="I33" s="13">
        <v>399</v>
      </c>
      <c r="J33" s="13">
        <v>60.18</v>
      </c>
      <c r="K33" s="2" t="s">
        <v>21</v>
      </c>
      <c r="L33" s="2" t="s">
        <v>22</v>
      </c>
      <c r="M33" t="str">
        <f t="shared" si="0"/>
        <v>Sat 16 Oct 2021 9:51 am IST</v>
      </c>
      <c r="N33" t="s">
        <v>939</v>
      </c>
      <c r="O33" s="7" t="str">
        <f t="shared" si="2"/>
        <v>Sat 16 Oct 2021 9:51 am</v>
      </c>
      <c r="P33" s="7">
        <v>44485</v>
      </c>
      <c r="Q33" t="s">
        <v>809</v>
      </c>
      <c r="R33" s="11" t="s">
        <v>198</v>
      </c>
      <c r="S33" t="str">
        <f t="shared" si="1"/>
        <v>JAGDALPUR</v>
      </c>
      <c r="T33" t="s">
        <v>1002</v>
      </c>
      <c r="U33" t="s">
        <v>1055</v>
      </c>
      <c r="V33" s="25">
        <v>412</v>
      </c>
      <c r="W33" s="25">
        <v>60.18</v>
      </c>
      <c r="X33" t="s">
        <v>1108</v>
      </c>
      <c r="Y33" t="s">
        <v>1110</v>
      </c>
      <c r="Z33" s="32" t="str">
        <f t="array" ref="Z33">IF(ISNUMBER(SEARCH("lipstick",G33)),"lipstick cases,","")&amp; IF(ISNUMBER(SEARCH("piggy",G33)),"Piggy coin bank ","")&amp;IF(ISNUMBER(SEARCH("Jewelry",G33)),"Jewelry box ","")&amp; IF(ISNUMBER(SEARCH("clutch",G33)),"Clutch purse,","")&amp; IF(ISNUMBER(SEARCH("wallet",G33)),"Wallet ","")&amp; IF(ISNUMBER(SEARCH("sling",G33)),"Sling bag ", "")&amp; IF(ISNUMBER(SEARCH("shoulder bag",G33)),"Shoulder bag,","")&amp; IF(ISNUMBER(SEARCH("Handbag",G33)),"Handbag","")</f>
        <v xml:space="preserve">Jewelry box </v>
      </c>
      <c r="AA33" t="s">
        <v>1128</v>
      </c>
    </row>
    <row r="34" spans="1:27" ht="15.6" x14ac:dyDescent="0.3">
      <c r="A34" s="2" t="s">
        <v>202</v>
      </c>
      <c r="B34" s="5" t="s">
        <v>203</v>
      </c>
      <c r="C34" s="2" t="s">
        <v>204</v>
      </c>
      <c r="D34" s="2" t="s">
        <v>136</v>
      </c>
      <c r="E34" s="2" t="s">
        <v>37</v>
      </c>
      <c r="F34" s="2" t="s">
        <v>28</v>
      </c>
      <c r="G34" s="2" t="s">
        <v>29</v>
      </c>
      <c r="H34" s="20">
        <v>1</v>
      </c>
      <c r="I34" s="13">
        <v>449</v>
      </c>
      <c r="J34" s="13">
        <v>84.96</v>
      </c>
      <c r="K34" s="2" t="s">
        <v>40</v>
      </c>
      <c r="L34" s="2" t="s">
        <v>22</v>
      </c>
      <c r="M34" t="str">
        <f t="shared" ref="M34:M65" si="3">SUBSTITUTE(B34,",","")</f>
        <v>Fri 29 Oct 2021 2:19 pm IST</v>
      </c>
      <c r="N34" t="s">
        <v>941</v>
      </c>
      <c r="O34" s="7" t="str">
        <f t="shared" si="2"/>
        <v>Fri 29 Oct 2021 2:19 pm</v>
      </c>
      <c r="P34" s="7">
        <v>44498</v>
      </c>
      <c r="Q34" t="s">
        <v>810</v>
      </c>
      <c r="R34" s="11" t="s">
        <v>204</v>
      </c>
      <c r="S34" t="str">
        <f t="shared" ref="S34:S65" si="4">SUBSTITUTE(D34,",","")</f>
        <v>HYDERABAD</v>
      </c>
      <c r="T34" t="s">
        <v>993</v>
      </c>
      <c r="U34" t="s">
        <v>1051</v>
      </c>
      <c r="V34" s="25">
        <v>413</v>
      </c>
      <c r="W34" s="25">
        <v>84.96</v>
      </c>
      <c r="X34" t="s">
        <v>1109</v>
      </c>
      <c r="Y34" t="s">
        <v>1110</v>
      </c>
      <c r="Z34" s="32" t="str">
        <f t="array" ref="Z34">IF(ISNUMBER(SEARCH("lipstick",G34)),"lipstick cases,","")&amp; IF(ISNUMBER(SEARCH("piggy",G34)),"Piggy coin bank ","")&amp;IF(ISNUMBER(SEARCH("Jewelry",G34)),"Jewelry box ","")&amp; IF(ISNUMBER(SEARCH("clutch",G34)),"Clutch purse,","")&amp; IF(ISNUMBER(SEARCH("wallet",G34)),"Wallet ","")&amp; IF(ISNUMBER(SEARCH("sling",G34)),"Sling bag ", "")&amp; IF(ISNUMBER(SEARCH("shoulder bag",G34)),"Shoulder bag,","")&amp; IF(ISNUMBER(SEARCH("Handbag",G34)),"Handbag","")</f>
        <v xml:space="preserve">lipstick cases,Jewelry box </v>
      </c>
      <c r="AA34" t="s">
        <v>1128</v>
      </c>
    </row>
    <row r="35" spans="1:27" ht="15.6" x14ac:dyDescent="0.3">
      <c r="A35" s="2" t="s">
        <v>205</v>
      </c>
      <c r="B35" s="5" t="s">
        <v>206</v>
      </c>
      <c r="C35" s="2" t="s">
        <v>207</v>
      </c>
      <c r="D35" s="2" t="s">
        <v>76</v>
      </c>
      <c r="E35" s="2" t="s">
        <v>77</v>
      </c>
      <c r="F35" s="2" t="s">
        <v>28</v>
      </c>
      <c r="G35" s="2" t="s">
        <v>29</v>
      </c>
      <c r="H35" s="20">
        <v>1</v>
      </c>
      <c r="I35" s="13">
        <v>449</v>
      </c>
      <c r="J35" s="13">
        <v>84.96</v>
      </c>
      <c r="K35" s="2" t="s">
        <v>21</v>
      </c>
      <c r="L35" s="2" t="s">
        <v>22</v>
      </c>
      <c r="M35" t="str">
        <f t="shared" si="3"/>
        <v>Sat 18 Sept 2021 8:06 am IST</v>
      </c>
      <c r="N35" t="s">
        <v>939</v>
      </c>
      <c r="O35" s="7" t="str">
        <f t="shared" si="2"/>
        <v>Sat 18 Sept 2021 8:06 am</v>
      </c>
      <c r="P35" s="7">
        <v>44457</v>
      </c>
      <c r="Q35" t="s">
        <v>811</v>
      </c>
      <c r="R35" s="11" t="s">
        <v>207</v>
      </c>
      <c r="S35" t="str">
        <f t="shared" si="4"/>
        <v>BENGALURU</v>
      </c>
      <c r="T35" t="s">
        <v>984</v>
      </c>
      <c r="U35" t="s">
        <v>1054</v>
      </c>
      <c r="V35" s="25">
        <v>414</v>
      </c>
      <c r="W35" s="25">
        <v>84.96</v>
      </c>
      <c r="X35" t="s">
        <v>1108</v>
      </c>
      <c r="Y35" t="s">
        <v>1110</v>
      </c>
      <c r="Z35" s="32" t="str">
        <f t="array" ref="Z35">IF(ISNUMBER(SEARCH("lipstick",G35)),"lipstick cases,","")&amp; IF(ISNUMBER(SEARCH("piggy",G35)),"Piggy coin bank ","")&amp;IF(ISNUMBER(SEARCH("Jewelry",G35)),"Jewelry box ","")&amp; IF(ISNUMBER(SEARCH("clutch",G35)),"Clutch purse,","")&amp; IF(ISNUMBER(SEARCH("wallet",G35)),"Wallet ","")&amp; IF(ISNUMBER(SEARCH("sling",G35)),"Sling bag ", "")&amp; IF(ISNUMBER(SEARCH("shoulder bag",G35)),"Shoulder bag,","")&amp; IF(ISNUMBER(SEARCH("Handbag",G35)),"Handbag","")</f>
        <v xml:space="preserve">lipstick cases,Jewelry box </v>
      </c>
      <c r="AA35" t="s">
        <v>1130</v>
      </c>
    </row>
    <row r="36" spans="1:27" ht="15.6" x14ac:dyDescent="0.3">
      <c r="A36" s="2" t="s">
        <v>208</v>
      </c>
      <c r="B36" s="5" t="s">
        <v>209</v>
      </c>
      <c r="C36" s="2" t="s">
        <v>210</v>
      </c>
      <c r="D36" s="2" t="s">
        <v>120</v>
      </c>
      <c r="E36" s="2" t="s">
        <v>54</v>
      </c>
      <c r="F36" s="2" t="s">
        <v>211</v>
      </c>
      <c r="G36" s="2" t="s">
        <v>212</v>
      </c>
      <c r="H36" s="20">
        <v>1</v>
      </c>
      <c r="I36" s="13">
        <v>250</v>
      </c>
      <c r="J36" s="13">
        <v>47.2</v>
      </c>
      <c r="K36" s="2" t="s">
        <v>40</v>
      </c>
      <c r="L36" s="2" t="s">
        <v>22</v>
      </c>
      <c r="M36" t="str">
        <f t="shared" si="3"/>
        <v>Thu 28 Oct 2021 3:54 pm IST</v>
      </c>
      <c r="N36" t="s">
        <v>938</v>
      </c>
      <c r="O36" s="7" t="str">
        <f t="shared" si="2"/>
        <v>Thu 28 Oct 2021 3:54 pm</v>
      </c>
      <c r="P36" s="7">
        <v>44497</v>
      </c>
      <c r="Q36" t="s">
        <v>812</v>
      </c>
      <c r="R36" s="11" t="s">
        <v>949</v>
      </c>
      <c r="S36" t="str">
        <f t="shared" si="4"/>
        <v>KOLKATA</v>
      </c>
      <c r="T36" t="s">
        <v>991</v>
      </c>
      <c r="U36" t="s">
        <v>1052</v>
      </c>
      <c r="V36" s="25">
        <v>415</v>
      </c>
      <c r="W36" s="25">
        <v>47.2</v>
      </c>
      <c r="X36" t="s">
        <v>1109</v>
      </c>
      <c r="Y36" t="s">
        <v>1110</v>
      </c>
      <c r="Z36" s="32" t="str">
        <f t="array" ref="Z36">IF(ISNUMBER(SEARCH("lipstick",G36)),"lipstick cases,","")&amp; IF(ISNUMBER(SEARCH("piggy",G36)),"Piggy coin bank ","")&amp;IF(ISNUMBER(SEARCH("Jewelry",G36)),"Jewelry box ","")&amp; IF(ISNUMBER(SEARCH("clutch",G36)),"Clutch purse,","")&amp; IF(ISNUMBER(SEARCH("wallet",G36)),"Wallet ","")&amp; IF(ISNUMBER(SEARCH("sling",G36)),"Sling bag ", "")&amp; IF(ISNUMBER(SEARCH("shoulder bag",G36)),"Shoulder bag,","")&amp; IF(ISNUMBER(SEARCH("Handbag",G36)),"Handbag","")</f>
        <v xml:space="preserve">Jewelry box </v>
      </c>
      <c r="AA36" t="s">
        <v>1128</v>
      </c>
    </row>
    <row r="37" spans="1:27" ht="15.6" x14ac:dyDescent="0.3">
      <c r="A37" s="2" t="s">
        <v>214</v>
      </c>
      <c r="B37" s="5" t="s">
        <v>215</v>
      </c>
      <c r="C37" s="2" t="s">
        <v>216</v>
      </c>
      <c r="D37" s="2" t="s">
        <v>76</v>
      </c>
      <c r="E37" s="2" t="s">
        <v>77</v>
      </c>
      <c r="F37" s="2" t="s">
        <v>78</v>
      </c>
      <c r="G37" s="2" t="s">
        <v>79</v>
      </c>
      <c r="H37" s="20">
        <v>1</v>
      </c>
      <c r="I37" s="13">
        <v>399</v>
      </c>
      <c r="J37" s="13">
        <v>84.96</v>
      </c>
      <c r="K37" s="2" t="s">
        <v>21</v>
      </c>
      <c r="L37" s="2" t="s">
        <v>22</v>
      </c>
      <c r="M37" t="str">
        <f t="shared" si="3"/>
        <v>Tue 7 Sept 2021 7:11 am IST</v>
      </c>
      <c r="N37" t="s">
        <v>936</v>
      </c>
      <c r="O37" s="7" t="str">
        <f t="shared" si="2"/>
        <v>Tue 7 Sept 2021 7:11 am</v>
      </c>
      <c r="P37" s="7">
        <v>44446</v>
      </c>
      <c r="Q37" t="s">
        <v>813</v>
      </c>
      <c r="R37" s="11" t="s">
        <v>216</v>
      </c>
      <c r="S37" t="str">
        <f t="shared" si="4"/>
        <v>BENGALURU</v>
      </c>
      <c r="T37" t="s">
        <v>984</v>
      </c>
      <c r="U37" t="s">
        <v>1054</v>
      </c>
      <c r="V37" s="25">
        <v>416</v>
      </c>
      <c r="W37" s="25">
        <v>84.96</v>
      </c>
      <c r="X37" t="s">
        <v>1108</v>
      </c>
      <c r="Y37" t="s">
        <v>1110</v>
      </c>
      <c r="Z37" s="32" t="str">
        <f t="array" ref="Z37">IF(ISNUMBER(SEARCH("lipstick",G37)),"lipstick cases,","")&amp; IF(ISNUMBER(SEARCH("piggy",G37)),"Piggy coin bank ","")&amp;IF(ISNUMBER(SEARCH("Jewelry",G37)),"Jewelry box ","")&amp; IF(ISNUMBER(SEARCH("clutch",G37)),"Clutch purse,","")&amp; IF(ISNUMBER(SEARCH("wallet",G37)),"Wallet ","")&amp; IF(ISNUMBER(SEARCH("sling",G37)),"Sling bag ", "")&amp; IF(ISNUMBER(SEARCH("shoulder bag",G37)),"Shoulder bag,","")&amp; IF(ISNUMBER(SEARCH("Handbag",G37)),"Handbag","")</f>
        <v xml:space="preserve">Jewelry box </v>
      </c>
      <c r="AA37" t="s">
        <v>1130</v>
      </c>
    </row>
    <row r="38" spans="1:27" ht="15.6" x14ac:dyDescent="0.3">
      <c r="A38" s="2" t="s">
        <v>217</v>
      </c>
      <c r="B38" s="5" t="s">
        <v>218</v>
      </c>
      <c r="C38" s="2" t="s">
        <v>219</v>
      </c>
      <c r="D38" s="2" t="s">
        <v>220</v>
      </c>
      <c r="E38" s="2" t="s">
        <v>102</v>
      </c>
      <c r="F38" s="2" t="s">
        <v>184</v>
      </c>
      <c r="G38" s="2" t="s">
        <v>185</v>
      </c>
      <c r="H38" s="20">
        <v>1</v>
      </c>
      <c r="I38" s="13">
        <v>399</v>
      </c>
      <c r="J38" s="13">
        <v>84.96</v>
      </c>
      <c r="K38" s="2" t="s">
        <v>21</v>
      </c>
      <c r="L38" s="2" t="s">
        <v>22</v>
      </c>
      <c r="M38" t="str">
        <f t="shared" si="3"/>
        <v>Thu 2 Sept 2021 2:35 pm IST</v>
      </c>
      <c r="N38" t="s">
        <v>938</v>
      </c>
      <c r="O38" s="7" t="str">
        <f t="shared" si="2"/>
        <v>Thu 2 Sept 2021 2:35 pm</v>
      </c>
      <c r="P38" s="7">
        <v>44441</v>
      </c>
      <c r="Q38" t="s">
        <v>814</v>
      </c>
      <c r="R38" s="11" t="s">
        <v>950</v>
      </c>
      <c r="S38" t="str">
        <f t="shared" si="4"/>
        <v>SALEM</v>
      </c>
      <c r="T38" t="s">
        <v>1003</v>
      </c>
      <c r="U38" t="s">
        <v>1058</v>
      </c>
      <c r="V38" s="25">
        <v>417</v>
      </c>
      <c r="W38" s="25">
        <v>84.96</v>
      </c>
      <c r="X38" t="s">
        <v>1108</v>
      </c>
      <c r="Y38" t="s">
        <v>1110</v>
      </c>
      <c r="Z38" s="32" t="str">
        <f t="array" ref="Z38">IF(ISNUMBER(SEARCH("lipstick",G38)),"lipstick cases,","")&amp; IF(ISNUMBER(SEARCH("piggy",G38)),"Piggy coin bank ","")&amp;IF(ISNUMBER(SEARCH("Jewelry",G38)),"Jewelry box ","")&amp; IF(ISNUMBER(SEARCH("clutch",G38)),"Clutch purse,","")&amp; IF(ISNUMBER(SEARCH("wallet",G38)),"Wallet ","")&amp; IF(ISNUMBER(SEARCH("sling",G38)),"Sling bag ", "")&amp; IF(ISNUMBER(SEARCH("shoulder bag",G38)),"Shoulder bag,","")&amp; IF(ISNUMBER(SEARCH("Handbag",G38)),"Handbag","")</f>
        <v xml:space="preserve">Jewelry box </v>
      </c>
      <c r="AA38" t="s">
        <v>1130</v>
      </c>
    </row>
    <row r="39" spans="1:27" ht="15.6" x14ac:dyDescent="0.3">
      <c r="A39" s="2" t="s">
        <v>221</v>
      </c>
      <c r="B39" s="5" t="s">
        <v>222</v>
      </c>
      <c r="C39" s="2" t="s">
        <v>223</v>
      </c>
      <c r="D39" s="2" t="s">
        <v>108</v>
      </c>
      <c r="E39" s="2" t="s">
        <v>45</v>
      </c>
      <c r="F39" s="2" t="s">
        <v>224</v>
      </c>
      <c r="G39" s="2" t="s">
        <v>225</v>
      </c>
      <c r="H39" s="20">
        <v>1</v>
      </c>
      <c r="I39" s="13">
        <v>449</v>
      </c>
      <c r="J39" s="13">
        <v>84.96</v>
      </c>
      <c r="K39" s="2" t="s">
        <v>21</v>
      </c>
      <c r="L39" s="2" t="s">
        <v>22</v>
      </c>
      <c r="M39" t="str">
        <f t="shared" si="3"/>
        <v>Sat 18 Sept 2021 5:03 pm IST</v>
      </c>
      <c r="N39" t="s">
        <v>939</v>
      </c>
      <c r="O39" s="7" t="str">
        <f t="shared" si="2"/>
        <v>Sat 18 Sept 2021 5:03 pm</v>
      </c>
      <c r="P39" s="7">
        <v>44457</v>
      </c>
      <c r="Q39" t="s">
        <v>815</v>
      </c>
      <c r="R39" s="11" t="s">
        <v>223</v>
      </c>
      <c r="S39" t="str">
        <f t="shared" si="4"/>
        <v>PUNE</v>
      </c>
      <c r="T39" t="s">
        <v>989</v>
      </c>
      <c r="U39" t="s">
        <v>339</v>
      </c>
      <c r="V39" s="25">
        <v>418</v>
      </c>
      <c r="W39" s="25">
        <v>84.96</v>
      </c>
      <c r="X39" t="s">
        <v>1108</v>
      </c>
      <c r="Y39" t="s">
        <v>1110</v>
      </c>
      <c r="Z39" s="32" t="str">
        <f t="array" ref="Z39">IF(ISNUMBER(SEARCH("lipstick",G39)),"lipstick cases,","")&amp; IF(ISNUMBER(SEARCH("piggy",G39)),"Piggy coin bank ","")&amp;IF(ISNUMBER(SEARCH("Jewelry",G39)),"Jewelry box ","")&amp; IF(ISNUMBER(SEARCH("clutch",G39)),"Clutch purse,","")&amp; IF(ISNUMBER(SEARCH("wallet",G39)),"Wallet ","")&amp; IF(ISNUMBER(SEARCH("sling",G39)),"Sling bag ", "")&amp; IF(ISNUMBER(SEARCH("shoulder bag",G39)),"Shoulder bag,","")&amp; IF(ISNUMBER(SEARCH("Handbag",G39)),"Handbag","")</f>
        <v xml:space="preserve">Piggy coin bank </v>
      </c>
      <c r="AA39" t="s">
        <v>1130</v>
      </c>
    </row>
    <row r="40" spans="1:27" ht="15.6" x14ac:dyDescent="0.3">
      <c r="A40" s="2" t="s">
        <v>226</v>
      </c>
      <c r="B40" s="5" t="s">
        <v>227</v>
      </c>
      <c r="C40" s="2" t="s">
        <v>228</v>
      </c>
      <c r="D40" s="2" t="s">
        <v>229</v>
      </c>
      <c r="E40" s="2" t="s">
        <v>230</v>
      </c>
      <c r="F40" s="2" t="s">
        <v>184</v>
      </c>
      <c r="G40" s="2" t="s">
        <v>185</v>
      </c>
      <c r="H40" s="20">
        <v>1</v>
      </c>
      <c r="I40" s="13">
        <v>399</v>
      </c>
      <c r="J40" s="13">
        <v>84.96</v>
      </c>
      <c r="K40" s="2" t="s">
        <v>40</v>
      </c>
      <c r="L40" s="2" t="s">
        <v>22</v>
      </c>
      <c r="M40" t="str">
        <f t="shared" si="3"/>
        <v>Mon 1 Nov 2021 11:33 am IST</v>
      </c>
      <c r="N40" t="s">
        <v>940</v>
      </c>
      <c r="O40" s="7" t="str">
        <f t="shared" si="2"/>
        <v>Mon 1 Nov 2021 11:33 am</v>
      </c>
      <c r="P40" s="7">
        <v>44501</v>
      </c>
      <c r="Q40" t="s">
        <v>816</v>
      </c>
      <c r="R40" s="11" t="s">
        <v>228</v>
      </c>
      <c r="S40" t="str">
        <f t="shared" si="4"/>
        <v>JAMMU</v>
      </c>
      <c r="T40" t="s">
        <v>1004</v>
      </c>
      <c r="U40" t="s">
        <v>1061</v>
      </c>
      <c r="V40" s="25">
        <v>419</v>
      </c>
      <c r="W40" s="25">
        <v>84.96</v>
      </c>
      <c r="X40" t="s">
        <v>1109</v>
      </c>
      <c r="Y40" t="s">
        <v>1110</v>
      </c>
      <c r="Z40" s="32" t="str">
        <f t="array" ref="Z40">IF(ISNUMBER(SEARCH("lipstick",G40)),"lipstick cases,","")&amp; IF(ISNUMBER(SEARCH("piggy",G40)),"Piggy coin bank ","")&amp;IF(ISNUMBER(SEARCH("Jewelry",G40)),"Jewelry box ","")&amp; IF(ISNUMBER(SEARCH("clutch",G40)),"Clutch purse,","")&amp; IF(ISNUMBER(SEARCH("wallet",G40)),"Wallet ","")&amp; IF(ISNUMBER(SEARCH("sling",G40)),"Sling bag ", "")&amp; IF(ISNUMBER(SEARCH("shoulder bag",G40)),"Shoulder bag,","")&amp; IF(ISNUMBER(SEARCH("Handbag",G40)),"Handbag","")</f>
        <v xml:space="preserve">Jewelry box </v>
      </c>
      <c r="AA40" t="s">
        <v>1129</v>
      </c>
    </row>
    <row r="41" spans="1:27" ht="15.6" x14ac:dyDescent="0.3">
      <c r="A41" s="2" t="s">
        <v>231</v>
      </c>
      <c r="B41" s="5" t="s">
        <v>232</v>
      </c>
      <c r="C41" s="2" t="s">
        <v>233</v>
      </c>
      <c r="D41" s="2" t="s">
        <v>182</v>
      </c>
      <c r="E41" s="2" t="s">
        <v>183</v>
      </c>
      <c r="F41" s="2" t="s">
        <v>234</v>
      </c>
      <c r="G41" s="2" t="s">
        <v>235</v>
      </c>
      <c r="H41" s="20">
        <v>4</v>
      </c>
      <c r="I41" s="9" t="s">
        <v>21</v>
      </c>
      <c r="J41" s="13">
        <v>84.96</v>
      </c>
      <c r="K41" s="2" t="s">
        <v>21</v>
      </c>
      <c r="L41" s="2" t="s">
        <v>65</v>
      </c>
      <c r="M41" t="str">
        <f t="shared" si="3"/>
        <v>Fri 26 Nov 2021 9:12 pm IST</v>
      </c>
      <c r="N41" t="s">
        <v>941</v>
      </c>
      <c r="O41" s="7" t="str">
        <f t="shared" si="2"/>
        <v>Fri 26 Nov 2021 9:12 pm</v>
      </c>
      <c r="P41" s="7">
        <v>44526</v>
      </c>
      <c r="Q41" t="s">
        <v>785</v>
      </c>
      <c r="R41" s="11" t="s">
        <v>233</v>
      </c>
      <c r="S41" t="str">
        <f t="shared" si="4"/>
        <v>NEW DELHI</v>
      </c>
      <c r="T41" t="s">
        <v>999</v>
      </c>
      <c r="U41" t="s">
        <v>1059</v>
      </c>
      <c r="V41" s="25">
        <v>420</v>
      </c>
      <c r="W41" s="25">
        <v>84.96</v>
      </c>
      <c r="X41" t="s">
        <v>1108</v>
      </c>
      <c r="Y41" t="s">
        <v>1111</v>
      </c>
      <c r="Z41" s="32" t="str">
        <f t="array" ref="Z41">IF(ISNUMBER(SEARCH("lipstick",G41)),"lipstick cases,","")&amp; IF(ISNUMBER(SEARCH("piggy",G41)),"Piggy coin bank ","")&amp;IF(ISNUMBER(SEARCH("Jewelry",G41)),"Jewelry box ","")&amp; IF(ISNUMBER(SEARCH("clutch",G41)),"Clutch purse,","")&amp; IF(ISNUMBER(SEARCH("wallet",G41)),"Wallet ","")&amp; IF(ISNUMBER(SEARCH("sling",G41)),"Sling bag ", "")&amp; IF(ISNUMBER(SEARCH("shoulder bag",G41)),"Shoulder bag,","")&amp; IF(ISNUMBER(SEARCH("Handbag",G41)),"Handbag","")</f>
        <v xml:space="preserve">Jewelry box </v>
      </c>
      <c r="AA41" t="s">
        <v>1129</v>
      </c>
    </row>
    <row r="42" spans="1:27" ht="15.6" x14ac:dyDescent="0.3">
      <c r="A42" s="2" t="s">
        <v>237</v>
      </c>
      <c r="B42" s="5" t="s">
        <v>238</v>
      </c>
      <c r="C42" s="2" t="s">
        <v>239</v>
      </c>
      <c r="D42" s="2" t="s">
        <v>136</v>
      </c>
      <c r="E42" s="2" t="s">
        <v>37</v>
      </c>
      <c r="F42" s="2" t="s">
        <v>240</v>
      </c>
      <c r="G42" s="2" t="s">
        <v>241</v>
      </c>
      <c r="H42" s="20">
        <v>1</v>
      </c>
      <c r="I42" s="13">
        <v>549</v>
      </c>
      <c r="J42" s="13">
        <v>84.96</v>
      </c>
      <c r="K42" s="2" t="s">
        <v>21</v>
      </c>
      <c r="L42" s="2" t="s">
        <v>22</v>
      </c>
      <c r="M42" t="str">
        <f t="shared" si="3"/>
        <v>Mon 6 Sept 2021 3:15 pm IST</v>
      </c>
      <c r="N42" t="s">
        <v>940</v>
      </c>
      <c r="O42" s="7" t="str">
        <f t="shared" si="2"/>
        <v>Mon 6 Sept 2021 3:15 pm</v>
      </c>
      <c r="P42" s="7">
        <v>44445</v>
      </c>
      <c r="Q42" t="s">
        <v>817</v>
      </c>
      <c r="R42" s="11" t="s">
        <v>239</v>
      </c>
      <c r="S42" t="str">
        <f t="shared" si="4"/>
        <v>HYDERABAD</v>
      </c>
      <c r="T42" t="s">
        <v>993</v>
      </c>
      <c r="U42" t="s">
        <v>1051</v>
      </c>
      <c r="V42" s="25">
        <v>421</v>
      </c>
      <c r="W42" s="25">
        <v>84.96</v>
      </c>
      <c r="X42" t="s">
        <v>1108</v>
      </c>
      <c r="Y42" t="s">
        <v>1110</v>
      </c>
      <c r="Z42" s="32" t="str">
        <f t="array" ref="Z42">IF(ISNUMBER(SEARCH("lipstick",G42)),"lipstick cases,","")&amp; IF(ISNUMBER(SEARCH("piggy",G42)),"Piggy coin bank ","")&amp;IF(ISNUMBER(SEARCH("Jewelry",G42)),"Jewelry box ","")&amp; IF(ISNUMBER(SEARCH("clutch",G42)),"Clutch purse,","")&amp; IF(ISNUMBER(SEARCH("wallet",G42)),"Wallet ","")&amp; IF(ISNUMBER(SEARCH("sling",G42)),"Sling bag ", "")&amp; IF(ISNUMBER(SEARCH("shoulder bag",G42)),"Shoulder bag,","")&amp; IF(ISNUMBER(SEARCH("Handbag",G42)),"Handbag","")</f>
        <v xml:space="preserve">Jewelry box </v>
      </c>
      <c r="AA42" t="s">
        <v>1130</v>
      </c>
    </row>
    <row r="43" spans="1:27" ht="15.6" x14ac:dyDescent="0.3">
      <c r="A43" s="2" t="s">
        <v>243</v>
      </c>
      <c r="B43" s="5" t="s">
        <v>244</v>
      </c>
      <c r="C43" s="2" t="s">
        <v>245</v>
      </c>
      <c r="D43" s="2" t="s">
        <v>246</v>
      </c>
      <c r="E43" s="2" t="s">
        <v>247</v>
      </c>
      <c r="F43" s="2" t="s">
        <v>211</v>
      </c>
      <c r="G43" s="2" t="s">
        <v>212</v>
      </c>
      <c r="H43" s="20">
        <v>1</v>
      </c>
      <c r="I43" s="13">
        <v>250</v>
      </c>
      <c r="J43" s="13">
        <v>84.96</v>
      </c>
      <c r="K43" s="2" t="s">
        <v>21</v>
      </c>
      <c r="L43" s="2" t="s">
        <v>22</v>
      </c>
      <c r="M43" t="str">
        <f t="shared" si="3"/>
        <v>Fri 1 Oct 2021 2:18 pm IST</v>
      </c>
      <c r="N43" t="s">
        <v>941</v>
      </c>
      <c r="O43" s="7" t="str">
        <f t="shared" si="2"/>
        <v>Fri 1 Oct 2021 2:18 pm</v>
      </c>
      <c r="P43" s="7">
        <v>44470</v>
      </c>
      <c r="Q43" t="s">
        <v>818</v>
      </c>
      <c r="R43" s="11" t="s">
        <v>245</v>
      </c>
      <c r="S43" t="str">
        <f t="shared" si="4"/>
        <v>AHMEDABAD</v>
      </c>
      <c r="T43" t="s">
        <v>1005</v>
      </c>
      <c r="U43" t="s">
        <v>1062</v>
      </c>
      <c r="V43" s="25">
        <v>422</v>
      </c>
      <c r="W43" s="25">
        <v>84.96</v>
      </c>
      <c r="X43" t="s">
        <v>1108</v>
      </c>
      <c r="Y43" t="s">
        <v>1110</v>
      </c>
      <c r="Z43" s="32" t="str">
        <f t="array" ref="Z43">IF(ISNUMBER(SEARCH("lipstick",G43)),"lipstick cases,","")&amp; IF(ISNUMBER(SEARCH("piggy",G43)),"Piggy coin bank ","")&amp;IF(ISNUMBER(SEARCH("Jewelry",G43)),"Jewelry box ","")&amp; IF(ISNUMBER(SEARCH("clutch",G43)),"Clutch purse,","")&amp; IF(ISNUMBER(SEARCH("wallet",G43)),"Wallet ","")&amp; IF(ISNUMBER(SEARCH("sling",G43)),"Sling bag ", "")&amp; IF(ISNUMBER(SEARCH("shoulder bag",G43)),"Shoulder bag,","")&amp; IF(ISNUMBER(SEARCH("Handbag",G43)),"Handbag","")</f>
        <v xml:space="preserve">Jewelry box </v>
      </c>
      <c r="AA43" t="s">
        <v>1128</v>
      </c>
    </row>
    <row r="44" spans="1:27" ht="15.6" x14ac:dyDescent="0.3">
      <c r="A44" s="2" t="s">
        <v>248</v>
      </c>
      <c r="B44" s="5" t="s">
        <v>249</v>
      </c>
      <c r="C44" s="2" t="s">
        <v>250</v>
      </c>
      <c r="D44" s="2" t="s">
        <v>156</v>
      </c>
      <c r="E44" s="2" t="s">
        <v>91</v>
      </c>
      <c r="F44" s="2" t="s">
        <v>28</v>
      </c>
      <c r="G44" s="2" t="s">
        <v>29</v>
      </c>
      <c r="H44" s="20">
        <v>1</v>
      </c>
      <c r="I44" s="13">
        <v>449</v>
      </c>
      <c r="J44" s="13">
        <v>84.96</v>
      </c>
      <c r="K44" s="2" t="s">
        <v>21</v>
      </c>
      <c r="L44" s="2" t="s">
        <v>22</v>
      </c>
      <c r="M44" t="str">
        <f t="shared" si="3"/>
        <v>Mon 4 Oct 2021 1:10 am IST</v>
      </c>
      <c r="N44" t="s">
        <v>940</v>
      </c>
      <c r="O44" s="7" t="str">
        <f t="shared" si="2"/>
        <v>Mon 4 Oct 2021 1:10 am</v>
      </c>
      <c r="P44" s="7">
        <v>44473</v>
      </c>
      <c r="Q44" t="s">
        <v>819</v>
      </c>
      <c r="R44" s="11" t="s">
        <v>250</v>
      </c>
      <c r="S44" t="str">
        <f t="shared" si="4"/>
        <v>GURUGRAM</v>
      </c>
      <c r="T44" t="s">
        <v>996</v>
      </c>
      <c r="U44" t="s">
        <v>1056</v>
      </c>
      <c r="V44" s="25">
        <v>423</v>
      </c>
      <c r="W44" s="25">
        <v>84.96</v>
      </c>
      <c r="X44" t="s">
        <v>1108</v>
      </c>
      <c r="Y44" t="s">
        <v>1110</v>
      </c>
      <c r="Z44" s="32" t="str">
        <f t="array" ref="Z44">IF(ISNUMBER(SEARCH("lipstick",G44)),"lipstick cases,","")&amp; IF(ISNUMBER(SEARCH("piggy",G44)),"Piggy coin bank ","")&amp;IF(ISNUMBER(SEARCH("Jewelry",G44)),"Jewelry box ","")&amp; IF(ISNUMBER(SEARCH("clutch",G44)),"Clutch purse,","")&amp; IF(ISNUMBER(SEARCH("wallet",G44)),"Wallet ","")&amp; IF(ISNUMBER(SEARCH("sling",G44)),"Sling bag ", "")&amp; IF(ISNUMBER(SEARCH("shoulder bag",G44)),"Shoulder bag,","")&amp; IF(ISNUMBER(SEARCH("Handbag",G44)),"Handbag","")</f>
        <v xml:space="preserve">lipstick cases,Jewelry box </v>
      </c>
      <c r="AA44" t="s">
        <v>1128</v>
      </c>
    </row>
    <row r="45" spans="1:27" ht="15.6" x14ac:dyDescent="0.3">
      <c r="A45" s="2" t="s">
        <v>251</v>
      </c>
      <c r="B45" s="5" t="s">
        <v>252</v>
      </c>
      <c r="C45" s="2" t="s">
        <v>253</v>
      </c>
      <c r="D45" s="2" t="s">
        <v>120</v>
      </c>
      <c r="E45" s="2" t="s">
        <v>54</v>
      </c>
      <c r="F45" s="2" t="s">
        <v>70</v>
      </c>
      <c r="G45" s="2" t="s">
        <v>71</v>
      </c>
      <c r="H45" s="20">
        <v>1</v>
      </c>
      <c r="I45" s="9" t="s">
        <v>21</v>
      </c>
      <c r="J45" s="13">
        <v>47.2</v>
      </c>
      <c r="K45" s="2" t="s">
        <v>21</v>
      </c>
      <c r="L45" s="2" t="s">
        <v>65</v>
      </c>
      <c r="M45" t="str">
        <f t="shared" si="3"/>
        <v>Sun 31 Oct 2021 11:38 am IST</v>
      </c>
      <c r="N45" t="s">
        <v>935</v>
      </c>
      <c r="O45" s="7" t="str">
        <f t="shared" si="2"/>
        <v>Sun 31 Oct 2021 11:38 am</v>
      </c>
      <c r="P45" s="7">
        <v>44500</v>
      </c>
      <c r="Q45" t="s">
        <v>820</v>
      </c>
      <c r="R45" s="11" t="s">
        <v>253</v>
      </c>
      <c r="S45" t="str">
        <f t="shared" si="4"/>
        <v>KOLKATA</v>
      </c>
      <c r="T45" t="s">
        <v>991</v>
      </c>
      <c r="U45" t="s">
        <v>1052</v>
      </c>
      <c r="V45" s="25">
        <v>424</v>
      </c>
      <c r="W45" s="25">
        <v>47.2</v>
      </c>
      <c r="X45" t="s">
        <v>1108</v>
      </c>
      <c r="Y45" t="s">
        <v>1111</v>
      </c>
      <c r="Z45" s="32" t="str">
        <f t="array" ref="Z45">IF(ISNUMBER(SEARCH("lipstick",G45)),"lipstick cases,","")&amp; IF(ISNUMBER(SEARCH("piggy",G45)),"Piggy coin bank ","")&amp;IF(ISNUMBER(SEARCH("Jewelry",G45)),"Jewelry box ","")&amp; IF(ISNUMBER(SEARCH("clutch",G45)),"Clutch purse,","")&amp; IF(ISNUMBER(SEARCH("wallet",G45)),"Wallet ","")&amp; IF(ISNUMBER(SEARCH("sling",G45)),"Sling bag ", "")&amp; IF(ISNUMBER(SEARCH("shoulder bag",G45)),"Shoulder bag,","")&amp; IF(ISNUMBER(SEARCH("Handbag",G45)),"Handbag","")</f>
        <v xml:space="preserve">Clutch purse,Wallet </v>
      </c>
      <c r="AA45" t="s">
        <v>1128</v>
      </c>
    </row>
    <row r="46" spans="1:27" ht="15.6" x14ac:dyDescent="0.3">
      <c r="A46" s="2" t="s">
        <v>254</v>
      </c>
      <c r="B46" s="5" t="s">
        <v>255</v>
      </c>
      <c r="C46" s="2" t="s">
        <v>256</v>
      </c>
      <c r="D46" s="2" t="s">
        <v>257</v>
      </c>
      <c r="E46" s="2" t="s">
        <v>45</v>
      </c>
      <c r="F46" s="2" t="s">
        <v>28</v>
      </c>
      <c r="G46" s="2" t="s">
        <v>29</v>
      </c>
      <c r="H46" s="20">
        <v>1</v>
      </c>
      <c r="I46" s="13">
        <v>449</v>
      </c>
      <c r="J46" s="12" t="s">
        <v>21</v>
      </c>
      <c r="K46" s="2" t="s">
        <v>21</v>
      </c>
      <c r="L46" s="2" t="s">
        <v>22</v>
      </c>
      <c r="M46" t="str">
        <f t="shared" si="3"/>
        <v>Fri 6 Aug 2021 9:16 am IST</v>
      </c>
      <c r="N46" t="s">
        <v>941</v>
      </c>
      <c r="O46" s="7" t="str">
        <f t="shared" si="2"/>
        <v>Fri 6 Aug 2021 9:16 am</v>
      </c>
      <c r="P46" s="7">
        <v>44414</v>
      </c>
      <c r="Q46" t="s">
        <v>821</v>
      </c>
      <c r="R46" s="11" t="s">
        <v>256</v>
      </c>
      <c r="S46" t="str">
        <f t="shared" si="4"/>
        <v>Mumbai</v>
      </c>
      <c r="T46" t="s">
        <v>980</v>
      </c>
      <c r="U46" t="s">
        <v>339</v>
      </c>
      <c r="V46" s="25">
        <v>425</v>
      </c>
      <c r="X46" t="s">
        <v>1108</v>
      </c>
      <c r="Y46" t="s">
        <v>1110</v>
      </c>
      <c r="Z46" s="32" t="str">
        <f t="array" ref="Z46">IF(ISNUMBER(SEARCH("lipstick",G46)),"lipstick cases,","")&amp; IF(ISNUMBER(SEARCH("piggy",G46)),"Piggy coin bank ","")&amp;IF(ISNUMBER(SEARCH("Jewelry",G46)),"Jewelry box ","")&amp; IF(ISNUMBER(SEARCH("clutch",G46)),"Clutch purse,","")&amp; IF(ISNUMBER(SEARCH("wallet",G46)),"Wallet ","")&amp; IF(ISNUMBER(SEARCH("sling",G46)),"Sling bag ", "")&amp; IF(ISNUMBER(SEARCH("shoulder bag",G46)),"Shoulder bag,","")&amp; IF(ISNUMBER(SEARCH("Handbag",G46)),"Handbag","")</f>
        <v xml:space="preserve">lipstick cases,Jewelry box </v>
      </c>
      <c r="AA46" t="s">
        <v>1132</v>
      </c>
    </row>
    <row r="47" spans="1:27" ht="15.6" x14ac:dyDescent="0.3">
      <c r="A47" s="2" t="s">
        <v>258</v>
      </c>
      <c r="B47" s="5" t="s">
        <v>259</v>
      </c>
      <c r="C47" s="2" t="s">
        <v>770</v>
      </c>
      <c r="D47" s="2" t="s">
        <v>261</v>
      </c>
      <c r="E47" s="2" t="s">
        <v>262</v>
      </c>
      <c r="F47" s="2" t="s">
        <v>211</v>
      </c>
      <c r="G47" s="2" t="s">
        <v>212</v>
      </c>
      <c r="H47" s="20">
        <v>1</v>
      </c>
      <c r="I47" s="13">
        <v>250</v>
      </c>
      <c r="J47" s="13">
        <v>60.18</v>
      </c>
      <c r="K47" s="2" t="s">
        <v>40</v>
      </c>
      <c r="L47" s="2" t="s">
        <v>22</v>
      </c>
      <c r="M47" t="str">
        <f t="shared" si="3"/>
        <v>Sun 31 Oct 2021 11:28 pm IST</v>
      </c>
      <c r="N47" t="s">
        <v>935</v>
      </c>
      <c r="O47" s="7" t="str">
        <f t="shared" si="2"/>
        <v>Sun 31 Oct 2021 11:28 pm</v>
      </c>
      <c r="P47" s="7">
        <v>44500</v>
      </c>
      <c r="Q47" t="s">
        <v>822</v>
      </c>
      <c r="R47" s="11" t="s">
        <v>951</v>
      </c>
      <c r="S47" t="str">
        <f t="shared" si="4"/>
        <v>SILCHAR</v>
      </c>
      <c r="T47" t="s">
        <v>1006</v>
      </c>
      <c r="U47" t="s">
        <v>1063</v>
      </c>
      <c r="V47" s="25">
        <v>426</v>
      </c>
      <c r="W47" s="25">
        <v>60.18</v>
      </c>
      <c r="X47" t="s">
        <v>1109</v>
      </c>
      <c r="Y47" t="s">
        <v>1110</v>
      </c>
      <c r="Z47" s="32" t="str">
        <f t="array" ref="Z47">IF(ISNUMBER(SEARCH("lipstick",G47)),"lipstick cases,","")&amp; IF(ISNUMBER(SEARCH("piggy",G47)),"Piggy coin bank ","")&amp;IF(ISNUMBER(SEARCH("Jewelry",G47)),"Jewelry box ","")&amp; IF(ISNUMBER(SEARCH("clutch",G47)),"Clutch purse,","")&amp; IF(ISNUMBER(SEARCH("wallet",G47)),"Wallet ","")&amp; IF(ISNUMBER(SEARCH("sling",G47)),"Sling bag ", "")&amp; IF(ISNUMBER(SEARCH("shoulder bag",G47)),"Shoulder bag,","")&amp; IF(ISNUMBER(SEARCH("Handbag",G47)),"Handbag","")</f>
        <v xml:space="preserve">Jewelry box </v>
      </c>
      <c r="AA47" t="s">
        <v>1128</v>
      </c>
    </row>
    <row r="48" spans="1:27" ht="15.6" x14ac:dyDescent="0.3">
      <c r="A48" s="2" t="s">
        <v>263</v>
      </c>
      <c r="B48" s="5" t="s">
        <v>264</v>
      </c>
      <c r="C48" s="2" t="s">
        <v>265</v>
      </c>
      <c r="D48" s="2" t="s">
        <v>266</v>
      </c>
      <c r="E48" s="2" t="s">
        <v>262</v>
      </c>
      <c r="F48" s="2" t="s">
        <v>46</v>
      </c>
      <c r="G48" s="2" t="s">
        <v>47</v>
      </c>
      <c r="H48" s="20">
        <v>1</v>
      </c>
      <c r="I48" s="13">
        <v>1099</v>
      </c>
      <c r="J48" s="12" t="s">
        <v>21</v>
      </c>
      <c r="K48" s="2" t="s">
        <v>40</v>
      </c>
      <c r="L48" s="2" t="s">
        <v>22</v>
      </c>
      <c r="M48" t="str">
        <f t="shared" si="3"/>
        <v>Fri 13 Aug 2021 12:02 pm IST</v>
      </c>
      <c r="N48" t="s">
        <v>941</v>
      </c>
      <c r="O48" s="7" t="str">
        <f t="shared" si="2"/>
        <v>Fri 13 Aug 2021 12:02 pm</v>
      </c>
      <c r="P48" s="7">
        <v>44421</v>
      </c>
      <c r="Q48" t="s">
        <v>823</v>
      </c>
      <c r="R48" s="11" t="s">
        <v>265</v>
      </c>
      <c r="S48" t="str">
        <f t="shared" si="4"/>
        <v>GUWAHATI</v>
      </c>
      <c r="T48" t="s">
        <v>1007</v>
      </c>
      <c r="U48" t="s">
        <v>1063</v>
      </c>
      <c r="V48" s="25">
        <v>427</v>
      </c>
      <c r="X48" t="s">
        <v>1109</v>
      </c>
      <c r="Y48" t="s">
        <v>1110</v>
      </c>
      <c r="Z48" s="32" t="str">
        <f t="array" ref="Z48">IF(ISNUMBER(SEARCH("lipstick",G48)),"lipstick cases,","")&amp; IF(ISNUMBER(SEARCH("piggy",G48)),"Piggy coin bank ","")&amp;IF(ISNUMBER(SEARCH("Jewelry",G48)),"Jewelry box ","")&amp; IF(ISNUMBER(SEARCH("clutch",G48)),"Clutch purse,","")&amp; IF(ISNUMBER(SEARCH("wallet",G48)),"Wallet ","")&amp; IF(ISNUMBER(SEARCH("sling",G48)),"Sling bag ", "")&amp; IF(ISNUMBER(SEARCH("shoulder bag",G48)),"Shoulder bag,","")&amp; IF(ISNUMBER(SEARCH("Handbag",G48)),"Handbag","")</f>
        <v xml:space="preserve">Sling bag </v>
      </c>
      <c r="AA48" t="s">
        <v>1132</v>
      </c>
    </row>
    <row r="49" spans="1:27" ht="15.6" x14ac:dyDescent="0.3">
      <c r="A49" s="2" t="s">
        <v>267</v>
      </c>
      <c r="B49" s="5" t="s">
        <v>268</v>
      </c>
      <c r="C49" s="2" t="s">
        <v>269</v>
      </c>
      <c r="D49" s="2" t="s">
        <v>266</v>
      </c>
      <c r="E49" s="2" t="s">
        <v>262</v>
      </c>
      <c r="F49" s="2" t="s">
        <v>270</v>
      </c>
      <c r="G49" s="2" t="s">
        <v>271</v>
      </c>
      <c r="H49" s="20">
        <v>1</v>
      </c>
      <c r="I49" s="9" t="s">
        <v>21</v>
      </c>
      <c r="J49" s="13">
        <v>60.18</v>
      </c>
      <c r="K49" s="2" t="s">
        <v>40</v>
      </c>
      <c r="L49" s="2" t="s">
        <v>65</v>
      </c>
      <c r="M49" t="str">
        <f t="shared" si="3"/>
        <v>Tue 5 Oct 2021 8:53 pm IST</v>
      </c>
      <c r="N49" t="s">
        <v>936</v>
      </c>
      <c r="O49" s="7" t="str">
        <f t="shared" si="2"/>
        <v>Tue 5 Oct 2021 8:53 pm</v>
      </c>
      <c r="P49" s="7">
        <v>44474</v>
      </c>
      <c r="Q49" t="s">
        <v>824</v>
      </c>
      <c r="R49" s="11" t="s">
        <v>269</v>
      </c>
      <c r="S49" t="str">
        <f t="shared" si="4"/>
        <v>GUWAHATI</v>
      </c>
      <c r="T49" t="s">
        <v>1007</v>
      </c>
      <c r="U49" t="s">
        <v>1063</v>
      </c>
      <c r="V49" s="25">
        <v>428</v>
      </c>
      <c r="W49" s="25">
        <v>60.18</v>
      </c>
      <c r="X49" t="s">
        <v>1109</v>
      </c>
      <c r="Y49" t="s">
        <v>1111</v>
      </c>
      <c r="Z49" s="32" t="str">
        <f t="array" ref="Z49">IF(ISNUMBER(SEARCH("lipstick",G49)),"lipstick cases,","")&amp; IF(ISNUMBER(SEARCH("piggy",G49)),"Piggy coin bank ","")&amp;IF(ISNUMBER(SEARCH("Jewelry",G49)),"Jewelry box ","")&amp; IF(ISNUMBER(SEARCH("clutch",G49)),"Clutch purse,","")&amp; IF(ISNUMBER(SEARCH("wallet",G49)),"Wallet ","")&amp; IF(ISNUMBER(SEARCH("sling",G49)),"Sling bag ", "")&amp; IF(ISNUMBER(SEARCH("shoulder bag",G49)),"Shoulder bag,","")&amp; IF(ISNUMBER(SEARCH("Handbag",G49)),"Handbag","")</f>
        <v xml:space="preserve">Clutch purse,Wallet </v>
      </c>
      <c r="AA49" t="s">
        <v>1128</v>
      </c>
    </row>
    <row r="50" spans="1:27" ht="15.6" x14ac:dyDescent="0.3">
      <c r="A50" s="2" t="s">
        <v>272</v>
      </c>
      <c r="B50" s="5" t="s">
        <v>273</v>
      </c>
      <c r="C50" s="2" t="s">
        <v>274</v>
      </c>
      <c r="D50" s="2" t="s">
        <v>275</v>
      </c>
      <c r="E50" s="2" t="s">
        <v>276</v>
      </c>
      <c r="F50" s="2" t="s">
        <v>85</v>
      </c>
      <c r="G50" s="2" t="s">
        <v>86</v>
      </c>
      <c r="H50" s="20">
        <v>1</v>
      </c>
      <c r="I50" s="13">
        <v>1099</v>
      </c>
      <c r="J50" s="12" t="s">
        <v>21</v>
      </c>
      <c r="K50" s="2" t="s">
        <v>40</v>
      </c>
      <c r="L50" s="2" t="s">
        <v>22</v>
      </c>
      <c r="M50" t="str">
        <f t="shared" si="3"/>
        <v>Mon 16 Aug 2021 9:27 pm IST</v>
      </c>
      <c r="N50" t="s">
        <v>940</v>
      </c>
      <c r="O50" s="7" t="str">
        <f t="shared" si="2"/>
        <v>Mon 16 Aug 2021 9:27 pm</v>
      </c>
      <c r="P50" s="7">
        <v>44424</v>
      </c>
      <c r="Q50" t="s">
        <v>825</v>
      </c>
      <c r="R50" s="11" t="s">
        <v>274</v>
      </c>
      <c r="S50" t="str">
        <f t="shared" si="4"/>
        <v>Ernakulam</v>
      </c>
      <c r="T50" t="s">
        <v>1008</v>
      </c>
      <c r="U50" t="s">
        <v>1064</v>
      </c>
      <c r="V50" s="25">
        <v>429</v>
      </c>
      <c r="X50" t="s">
        <v>1109</v>
      </c>
      <c r="Y50" t="s">
        <v>1110</v>
      </c>
      <c r="Z50" s="32" t="str">
        <f t="array" ref="Z50">IF(ISNUMBER(SEARCH("lipstick",G50)),"lipstick cases,","")&amp; IF(ISNUMBER(SEARCH("piggy",G50)),"Piggy coin bank ","")&amp;IF(ISNUMBER(SEARCH("Jewelry",G50)),"Jewelry box ","")&amp; IF(ISNUMBER(SEARCH("clutch",G50)),"Clutch purse,","")&amp; IF(ISNUMBER(SEARCH("wallet",G50)),"Wallet ","")&amp; IF(ISNUMBER(SEARCH("sling",G50)),"Sling bag ", "")&amp; IF(ISNUMBER(SEARCH("shoulder bag",G50)),"Shoulder bag,","")&amp; IF(ISNUMBER(SEARCH("Handbag",G50)),"Handbag","")</f>
        <v xml:space="preserve">Sling bag </v>
      </c>
      <c r="AA50" t="s">
        <v>1132</v>
      </c>
    </row>
    <row r="51" spans="1:27" ht="15.6" x14ac:dyDescent="0.3">
      <c r="A51" s="2" t="s">
        <v>277</v>
      </c>
      <c r="B51" s="5" t="s">
        <v>278</v>
      </c>
      <c r="C51" s="2" t="s">
        <v>279</v>
      </c>
      <c r="D51" s="2" t="s">
        <v>136</v>
      </c>
      <c r="E51" s="2" t="s">
        <v>37</v>
      </c>
      <c r="F51" s="2" t="s">
        <v>63</v>
      </c>
      <c r="G51" s="2" t="s">
        <v>64</v>
      </c>
      <c r="H51" s="20">
        <v>1</v>
      </c>
      <c r="I51" s="13">
        <v>649</v>
      </c>
      <c r="J51" s="13">
        <v>84.96</v>
      </c>
      <c r="K51" s="2" t="s">
        <v>21</v>
      </c>
      <c r="L51" s="2" t="s">
        <v>22</v>
      </c>
      <c r="M51" t="str">
        <f t="shared" si="3"/>
        <v>Sun 5 Sept 2021 12:22 am IST</v>
      </c>
      <c r="N51" t="s">
        <v>935</v>
      </c>
      <c r="O51" s="7" t="str">
        <f t="shared" si="2"/>
        <v>Sun 5 Sept 2021 12:22 am</v>
      </c>
      <c r="P51" s="7">
        <v>44444</v>
      </c>
      <c r="Q51" t="s">
        <v>826</v>
      </c>
      <c r="R51" s="11" t="s">
        <v>279</v>
      </c>
      <c r="S51" t="str">
        <f t="shared" si="4"/>
        <v>HYDERABAD</v>
      </c>
      <c r="T51" t="s">
        <v>993</v>
      </c>
      <c r="U51" t="s">
        <v>1051</v>
      </c>
      <c r="V51" s="25">
        <v>430</v>
      </c>
      <c r="W51" s="25">
        <v>84.96</v>
      </c>
      <c r="X51" t="s">
        <v>1108</v>
      </c>
      <c r="Y51" t="s">
        <v>1110</v>
      </c>
      <c r="Z51" s="32" t="str">
        <f t="array" ref="Z51">IF(ISNUMBER(SEARCH("lipstick",G51)),"lipstick cases,","")&amp; IF(ISNUMBER(SEARCH("piggy",G51)),"Piggy coin bank ","")&amp;IF(ISNUMBER(SEARCH("Jewelry",G51)),"Jewelry box ","")&amp; IF(ISNUMBER(SEARCH("clutch",G51)),"Clutch purse,","")&amp; IF(ISNUMBER(SEARCH("wallet",G51)),"Wallet ","")&amp; IF(ISNUMBER(SEARCH("sling",G51)),"Sling bag ", "")&amp; IF(ISNUMBER(SEARCH("shoulder bag",G51)),"Shoulder bag,","")&amp; IF(ISNUMBER(SEARCH("Handbag",G51)),"Handbag","")</f>
        <v xml:space="preserve">Wallet </v>
      </c>
      <c r="AA51" t="s">
        <v>1130</v>
      </c>
    </row>
    <row r="52" spans="1:27" ht="15.6" x14ac:dyDescent="0.3">
      <c r="A52" s="2" t="s">
        <v>280</v>
      </c>
      <c r="B52" s="5" t="s">
        <v>281</v>
      </c>
      <c r="C52" s="2" t="s">
        <v>282</v>
      </c>
      <c r="D52" s="2" t="s">
        <v>283</v>
      </c>
      <c r="E52" s="2" t="s">
        <v>102</v>
      </c>
      <c r="F52" s="2" t="s">
        <v>284</v>
      </c>
      <c r="G52" s="2" t="s">
        <v>285</v>
      </c>
      <c r="H52" s="20">
        <v>1</v>
      </c>
      <c r="I52" s="13">
        <v>449</v>
      </c>
      <c r="J52" s="13">
        <v>84.96</v>
      </c>
      <c r="K52" s="2" t="s">
        <v>40</v>
      </c>
      <c r="L52" s="2" t="s">
        <v>22</v>
      </c>
      <c r="M52" t="str">
        <f t="shared" si="3"/>
        <v>Sat 13 Nov 2021 4:47 pm IST</v>
      </c>
      <c r="N52" t="s">
        <v>939</v>
      </c>
      <c r="O52" s="7" t="str">
        <f t="shared" si="2"/>
        <v>Sat 13 Nov 2021 4:47 pm</v>
      </c>
      <c r="P52" s="7">
        <v>44513</v>
      </c>
      <c r="Q52" t="s">
        <v>789</v>
      </c>
      <c r="R52" s="11" t="s">
        <v>952</v>
      </c>
      <c r="S52" t="str">
        <f t="shared" si="4"/>
        <v>KARAIKKUDI</v>
      </c>
      <c r="T52" t="s">
        <v>1009</v>
      </c>
      <c r="U52" t="s">
        <v>1058</v>
      </c>
      <c r="V52" s="25">
        <v>431</v>
      </c>
      <c r="W52" s="25">
        <v>84.96</v>
      </c>
      <c r="X52" t="s">
        <v>1109</v>
      </c>
      <c r="Y52" t="s">
        <v>1110</v>
      </c>
      <c r="Z52" s="32" t="str">
        <f t="array" ref="Z52">IF(ISNUMBER(SEARCH("lipstick",G52)),"lipstick cases,","")&amp; IF(ISNUMBER(SEARCH("piggy",G52)),"Piggy coin bank ","")&amp;IF(ISNUMBER(SEARCH("Jewelry",G52)),"Jewelry box ","")&amp; IF(ISNUMBER(SEARCH("clutch",G52)),"Clutch purse,","")&amp; IF(ISNUMBER(SEARCH("wallet",G52)),"Wallet ","")&amp; IF(ISNUMBER(SEARCH("sling",G52)),"Sling bag ", "")&amp; IF(ISNUMBER(SEARCH("shoulder bag",G52)),"Shoulder bag,","")&amp; IF(ISNUMBER(SEARCH("Handbag",G52)),"Handbag","")</f>
        <v xml:space="preserve">Piggy coin bank </v>
      </c>
      <c r="AA52" t="s">
        <v>1129</v>
      </c>
    </row>
    <row r="53" spans="1:27" ht="15.6" x14ac:dyDescent="0.3">
      <c r="A53" s="2" t="s">
        <v>286</v>
      </c>
      <c r="B53" s="5" t="s">
        <v>287</v>
      </c>
      <c r="C53" s="2" t="s">
        <v>288</v>
      </c>
      <c r="D53" s="2" t="s">
        <v>44</v>
      </c>
      <c r="E53" s="2" t="s">
        <v>45</v>
      </c>
      <c r="F53" s="2" t="s">
        <v>289</v>
      </c>
      <c r="G53" s="2" t="s">
        <v>290</v>
      </c>
      <c r="H53" s="20">
        <v>1</v>
      </c>
      <c r="I53" s="13">
        <v>399</v>
      </c>
      <c r="J53" s="12" t="s">
        <v>21</v>
      </c>
      <c r="K53" s="2" t="s">
        <v>21</v>
      </c>
      <c r="L53" s="2" t="s">
        <v>22</v>
      </c>
      <c r="M53" t="str">
        <f t="shared" si="3"/>
        <v>Tue 24 Aug 2021 5:18 pm IST</v>
      </c>
      <c r="N53" t="s">
        <v>936</v>
      </c>
      <c r="O53" s="7" t="str">
        <f t="shared" si="2"/>
        <v>Tue 24 Aug 2021 5:18 pm</v>
      </c>
      <c r="P53" s="7">
        <v>44432</v>
      </c>
      <c r="Q53" t="s">
        <v>827</v>
      </c>
      <c r="R53" s="11" t="s">
        <v>288</v>
      </c>
      <c r="S53" t="str">
        <f t="shared" si="4"/>
        <v>MUMBAI</v>
      </c>
      <c r="T53" t="s">
        <v>980</v>
      </c>
      <c r="U53" t="s">
        <v>339</v>
      </c>
      <c r="V53" s="25">
        <v>432</v>
      </c>
      <c r="X53" t="s">
        <v>1108</v>
      </c>
      <c r="Y53" t="s">
        <v>1110</v>
      </c>
      <c r="Z53" s="32" t="str">
        <f t="array" ref="Z53">IF(ISNUMBER(SEARCH("lipstick",G53)),"lipstick cases,","")&amp; IF(ISNUMBER(SEARCH("piggy",G53)),"Piggy coin bank ","")&amp;IF(ISNUMBER(SEARCH("Jewelry",G53)),"Jewelry box ","")&amp; IF(ISNUMBER(SEARCH("clutch",G53)),"Clutch purse,","")&amp; IF(ISNUMBER(SEARCH("wallet",G53)),"Wallet ","")&amp; IF(ISNUMBER(SEARCH("sling",G53)),"Sling bag ", "")&amp; IF(ISNUMBER(SEARCH("shoulder bag",G53)),"Shoulder bag,","")&amp; IF(ISNUMBER(SEARCH("Handbag",G53)),"Handbag","")</f>
        <v xml:space="preserve">Clutch purse,Wallet </v>
      </c>
      <c r="AA53" t="s">
        <v>1132</v>
      </c>
    </row>
    <row r="54" spans="1:27" ht="15.6" x14ac:dyDescent="0.3">
      <c r="A54" s="2" t="s">
        <v>291</v>
      </c>
      <c r="B54" s="5" t="s">
        <v>292</v>
      </c>
      <c r="C54" s="2" t="s">
        <v>293</v>
      </c>
      <c r="D54" s="2" t="s">
        <v>294</v>
      </c>
      <c r="E54" s="2" t="s">
        <v>37</v>
      </c>
      <c r="F54" s="2" t="s">
        <v>295</v>
      </c>
      <c r="G54" s="2" t="s">
        <v>296</v>
      </c>
      <c r="H54" s="20">
        <v>1</v>
      </c>
      <c r="I54" s="13">
        <v>175</v>
      </c>
      <c r="J54" s="12" t="s">
        <v>21</v>
      </c>
      <c r="K54" s="2" t="s">
        <v>40</v>
      </c>
      <c r="L54" s="2" t="s">
        <v>22</v>
      </c>
      <c r="M54" t="str">
        <f t="shared" si="3"/>
        <v>Wed 16 Jun 2021 8:53 pm IST</v>
      </c>
      <c r="N54" t="s">
        <v>937</v>
      </c>
      <c r="O54" s="7" t="str">
        <f t="shared" si="2"/>
        <v>Wed 16 Jun 2021 8:53 pm</v>
      </c>
      <c r="P54" s="7">
        <v>44363</v>
      </c>
      <c r="Q54" t="s">
        <v>824</v>
      </c>
      <c r="R54" s="11" t="s">
        <v>953</v>
      </c>
      <c r="S54" t="str">
        <f t="shared" si="4"/>
        <v>KODAD</v>
      </c>
      <c r="T54" t="s">
        <v>1010</v>
      </c>
      <c r="U54" t="s">
        <v>1051</v>
      </c>
      <c r="V54" s="25">
        <v>433</v>
      </c>
      <c r="X54" t="s">
        <v>1109</v>
      </c>
      <c r="Y54" t="s">
        <v>1110</v>
      </c>
      <c r="Z54" s="32" t="str">
        <f t="array" ref="Z54">IF(ISNUMBER(SEARCH("lipstick",G54)),"lipstick cases,","")&amp; IF(ISNUMBER(SEARCH("piggy",G54)),"Piggy coin bank ","")&amp;IF(ISNUMBER(SEARCH("Jewelry",G54)),"Jewelry box ","")&amp; IF(ISNUMBER(SEARCH("clutch",G54)),"Clutch purse,","")&amp; IF(ISNUMBER(SEARCH("wallet",G54)),"Wallet ","")&amp; IF(ISNUMBER(SEARCH("sling",G54)),"Sling bag ", "")&amp; IF(ISNUMBER(SEARCH("shoulder bag",G54)),"Shoulder bag,","")&amp; IF(ISNUMBER(SEARCH("Handbag",G54)),"Handbag","")</f>
        <v xml:space="preserve">Piggy coin bank </v>
      </c>
      <c r="AA54" t="s">
        <v>1131</v>
      </c>
    </row>
    <row r="55" spans="1:27" ht="15.6" x14ac:dyDescent="0.3">
      <c r="A55" s="2" t="s">
        <v>298</v>
      </c>
      <c r="B55" s="5" t="s">
        <v>299</v>
      </c>
      <c r="C55" s="2" t="s">
        <v>300</v>
      </c>
      <c r="D55" s="2" t="s">
        <v>44</v>
      </c>
      <c r="E55" s="2" t="s">
        <v>45</v>
      </c>
      <c r="F55" s="2" t="s">
        <v>28</v>
      </c>
      <c r="G55" s="2" t="s">
        <v>29</v>
      </c>
      <c r="H55" s="20">
        <v>1</v>
      </c>
      <c r="I55" s="13">
        <v>449</v>
      </c>
      <c r="J55" s="13">
        <v>84.96</v>
      </c>
      <c r="K55" s="2" t="s">
        <v>40</v>
      </c>
      <c r="L55" s="2" t="s">
        <v>22</v>
      </c>
      <c r="M55" t="str">
        <f t="shared" si="3"/>
        <v>Fri 22 Oct 2021 2:57 pm IST</v>
      </c>
      <c r="N55" t="s">
        <v>941</v>
      </c>
      <c r="O55" s="7" t="str">
        <f t="shared" si="2"/>
        <v>Fri 22 Oct 2021 2:57 pm</v>
      </c>
      <c r="P55" s="7">
        <v>44491</v>
      </c>
      <c r="Q55" t="s">
        <v>828</v>
      </c>
      <c r="R55" s="11" t="s">
        <v>300</v>
      </c>
      <c r="S55" t="str">
        <f t="shared" si="4"/>
        <v>MUMBAI</v>
      </c>
      <c r="T55" t="s">
        <v>980</v>
      </c>
      <c r="U55" t="s">
        <v>339</v>
      </c>
      <c r="V55" s="25">
        <v>434</v>
      </c>
      <c r="W55" s="25">
        <v>84.96</v>
      </c>
      <c r="X55" t="s">
        <v>1109</v>
      </c>
      <c r="Y55" t="s">
        <v>1110</v>
      </c>
      <c r="Z55" s="32" t="str">
        <f t="array" ref="Z55">IF(ISNUMBER(SEARCH("lipstick",G55)),"lipstick cases,","")&amp; IF(ISNUMBER(SEARCH("piggy",G55)),"Piggy coin bank ","")&amp;IF(ISNUMBER(SEARCH("Jewelry",G55)),"Jewelry box ","")&amp; IF(ISNUMBER(SEARCH("clutch",G55)),"Clutch purse,","")&amp; IF(ISNUMBER(SEARCH("wallet",G55)),"Wallet ","")&amp; IF(ISNUMBER(SEARCH("sling",G55)),"Sling bag ", "")&amp; IF(ISNUMBER(SEARCH("shoulder bag",G55)),"Shoulder bag,","")&amp; IF(ISNUMBER(SEARCH("Handbag",G55)),"Handbag","")</f>
        <v xml:space="preserve">lipstick cases,Jewelry box </v>
      </c>
      <c r="AA55" t="s">
        <v>1128</v>
      </c>
    </row>
    <row r="56" spans="1:27" ht="15.6" x14ac:dyDescent="0.3">
      <c r="A56" s="2" t="s">
        <v>301</v>
      </c>
      <c r="B56" s="5" t="s">
        <v>302</v>
      </c>
      <c r="C56" s="2" t="s">
        <v>303</v>
      </c>
      <c r="D56" s="2" t="s">
        <v>120</v>
      </c>
      <c r="E56" s="2" t="s">
        <v>54</v>
      </c>
      <c r="F56" s="2" t="s">
        <v>304</v>
      </c>
      <c r="G56" s="2" t="s">
        <v>305</v>
      </c>
      <c r="H56" s="20">
        <v>1</v>
      </c>
      <c r="I56" s="13">
        <v>549</v>
      </c>
      <c r="J56" s="13">
        <v>47.2</v>
      </c>
      <c r="K56" s="2" t="s">
        <v>21</v>
      </c>
      <c r="L56" s="2" t="s">
        <v>22</v>
      </c>
      <c r="M56" t="str">
        <f t="shared" si="3"/>
        <v>Tue 26 Oct 2021 9:59 am IST</v>
      </c>
      <c r="N56" t="s">
        <v>936</v>
      </c>
      <c r="O56" s="7" t="str">
        <f t="shared" si="2"/>
        <v>Tue 26 Oct 2021 9:59 am</v>
      </c>
      <c r="P56" s="7">
        <v>44495</v>
      </c>
      <c r="Q56" t="s">
        <v>829</v>
      </c>
      <c r="R56" s="11" t="s">
        <v>303</v>
      </c>
      <c r="S56" t="str">
        <f t="shared" si="4"/>
        <v>KOLKATA</v>
      </c>
      <c r="T56" t="s">
        <v>991</v>
      </c>
      <c r="U56" t="s">
        <v>1052</v>
      </c>
      <c r="V56" s="25">
        <v>435</v>
      </c>
      <c r="W56" s="25">
        <v>47.2</v>
      </c>
      <c r="X56" t="s">
        <v>1108</v>
      </c>
      <c r="Y56" t="s">
        <v>1110</v>
      </c>
      <c r="Z56" s="32" t="str">
        <f t="array" ref="Z56">IF(ISNUMBER(SEARCH("lipstick",G56)),"lipstick cases,","")&amp; IF(ISNUMBER(SEARCH("piggy",G56)),"Piggy coin bank ","")&amp;IF(ISNUMBER(SEARCH("Jewelry",G56)),"Jewelry box ","")&amp; IF(ISNUMBER(SEARCH("clutch",G56)),"Clutch purse,","")&amp; IF(ISNUMBER(SEARCH("wallet",G56)),"Wallet ","")&amp; IF(ISNUMBER(SEARCH("sling",G56)),"Sling bag ", "")&amp; IF(ISNUMBER(SEARCH("shoulder bag",G56)),"Shoulder bag,","")&amp; IF(ISNUMBER(SEARCH("Handbag",G56)),"Handbag","")</f>
        <v xml:space="preserve">Piggy coin bank </v>
      </c>
      <c r="AA56" t="s">
        <v>1128</v>
      </c>
    </row>
    <row r="57" spans="1:27" ht="15.6" x14ac:dyDescent="0.3">
      <c r="A57" s="2" t="s">
        <v>306</v>
      </c>
      <c r="B57" s="5" t="s">
        <v>307</v>
      </c>
      <c r="C57" s="2" t="s">
        <v>308</v>
      </c>
      <c r="D57" s="2" t="s">
        <v>120</v>
      </c>
      <c r="E57" s="2" t="s">
        <v>54</v>
      </c>
      <c r="F57" s="2" t="s">
        <v>184</v>
      </c>
      <c r="G57" s="2" t="s">
        <v>185</v>
      </c>
      <c r="H57" s="20">
        <v>1</v>
      </c>
      <c r="I57" s="13">
        <v>399</v>
      </c>
      <c r="J57" s="13">
        <v>47.2</v>
      </c>
      <c r="K57" s="2" t="s">
        <v>21</v>
      </c>
      <c r="L57" s="2" t="s">
        <v>22</v>
      </c>
      <c r="M57" t="str">
        <f t="shared" si="3"/>
        <v>Fri 15 Oct 2021 8:27 pm IST</v>
      </c>
      <c r="N57" t="s">
        <v>941</v>
      </c>
      <c r="O57" s="7" t="str">
        <f t="shared" si="2"/>
        <v>Fri 15 Oct 2021 8:27 pm</v>
      </c>
      <c r="P57" s="7">
        <v>44484</v>
      </c>
      <c r="Q57" t="s">
        <v>830</v>
      </c>
      <c r="R57" s="11" t="s">
        <v>308</v>
      </c>
      <c r="S57" t="str">
        <f t="shared" si="4"/>
        <v>KOLKATA</v>
      </c>
      <c r="T57" t="s">
        <v>991</v>
      </c>
      <c r="U57" t="s">
        <v>1052</v>
      </c>
      <c r="V57" s="25">
        <v>399</v>
      </c>
      <c r="W57" s="25">
        <v>47.2</v>
      </c>
      <c r="X57" t="s">
        <v>1108</v>
      </c>
      <c r="Y57" t="s">
        <v>1110</v>
      </c>
      <c r="Z57" s="32" t="str">
        <f t="array" ref="Z57">IF(ISNUMBER(SEARCH("lipstick",G57)),"lipstick cases,","")&amp; IF(ISNUMBER(SEARCH("piggy",G57)),"Piggy coin bank ","")&amp;IF(ISNUMBER(SEARCH("Jewelry",G57)),"Jewelry box ","")&amp; IF(ISNUMBER(SEARCH("clutch",G57)),"Clutch purse,","")&amp; IF(ISNUMBER(SEARCH("wallet",G57)),"Wallet ","")&amp; IF(ISNUMBER(SEARCH("sling",G57)),"Sling bag ", "")&amp; IF(ISNUMBER(SEARCH("shoulder bag",G57)),"Shoulder bag,","")&amp; IF(ISNUMBER(SEARCH("Handbag",G57)),"Handbag","")</f>
        <v xml:space="preserve">Jewelry box </v>
      </c>
      <c r="AA57" t="s">
        <v>1128</v>
      </c>
    </row>
    <row r="58" spans="1:27" ht="15.6" x14ac:dyDescent="0.3">
      <c r="A58" s="2" t="s">
        <v>309</v>
      </c>
      <c r="B58" s="5" t="s">
        <v>310</v>
      </c>
      <c r="C58" s="2" t="s">
        <v>311</v>
      </c>
      <c r="D58" s="2" t="s">
        <v>312</v>
      </c>
      <c r="E58" s="2" t="s">
        <v>45</v>
      </c>
      <c r="F58" s="2" t="s">
        <v>163</v>
      </c>
      <c r="G58" s="2" t="s">
        <v>313</v>
      </c>
      <c r="H58" s="20">
        <v>1</v>
      </c>
      <c r="I58" s="13">
        <v>175</v>
      </c>
      <c r="J58" s="12" t="s">
        <v>21</v>
      </c>
      <c r="K58" s="2" t="s">
        <v>21</v>
      </c>
      <c r="L58" s="2" t="s">
        <v>22</v>
      </c>
      <c r="M58" t="str">
        <f t="shared" si="3"/>
        <v>Wed 16 Jun 2021 10:35 pm IST</v>
      </c>
      <c r="N58" t="s">
        <v>937</v>
      </c>
      <c r="O58" s="7" t="str">
        <f t="shared" si="2"/>
        <v>Wed 16 Jun 2021 10:35 pm</v>
      </c>
      <c r="P58" s="7">
        <v>44363</v>
      </c>
      <c r="Q58" t="s">
        <v>831</v>
      </c>
      <c r="R58" s="11" t="s">
        <v>311</v>
      </c>
      <c r="S58" t="str">
        <f t="shared" si="4"/>
        <v>BADLAPUR</v>
      </c>
      <c r="T58" t="s">
        <v>1011</v>
      </c>
      <c r="U58" t="s">
        <v>339</v>
      </c>
      <c r="V58" s="25" t="s">
        <v>1088</v>
      </c>
      <c r="X58" t="s">
        <v>1108</v>
      </c>
      <c r="Y58" t="s">
        <v>1110</v>
      </c>
      <c r="Z58" s="32" t="str">
        <f t="array" ref="Z58">IF(ISNUMBER(SEARCH("lipstick",G58)),"lipstick cases,","")&amp; IF(ISNUMBER(SEARCH("piggy",G58)),"Piggy coin bank ","")&amp;IF(ISNUMBER(SEARCH("Jewelry",G58)),"Jewelry box ","")&amp; IF(ISNUMBER(SEARCH("clutch",G58)),"Clutch purse,","")&amp; IF(ISNUMBER(SEARCH("wallet",G58)),"Wallet ","")&amp; IF(ISNUMBER(SEARCH("sling",G58)),"Sling bag ", "")&amp; IF(ISNUMBER(SEARCH("shoulder bag",G58)),"Shoulder bag,","")&amp; IF(ISNUMBER(SEARCH("Handbag",G58)),"Handbag","")</f>
        <v xml:space="preserve">Piggy coin bank </v>
      </c>
      <c r="AA58" t="s">
        <v>1131</v>
      </c>
    </row>
    <row r="59" spans="1:27" ht="15.6" x14ac:dyDescent="0.3">
      <c r="A59" s="2" t="s">
        <v>314</v>
      </c>
      <c r="B59" s="5" t="s">
        <v>315</v>
      </c>
      <c r="C59" s="2" t="s">
        <v>316</v>
      </c>
      <c r="D59" s="2" t="s">
        <v>44</v>
      </c>
      <c r="E59" s="2" t="s">
        <v>45</v>
      </c>
      <c r="F59" s="2" t="s">
        <v>184</v>
      </c>
      <c r="G59" s="2" t="s">
        <v>185</v>
      </c>
      <c r="H59" s="20">
        <v>1</v>
      </c>
      <c r="I59" s="13">
        <v>399</v>
      </c>
      <c r="J59" s="13">
        <v>84.96</v>
      </c>
      <c r="K59" s="2" t="s">
        <v>21</v>
      </c>
      <c r="L59" s="2" t="s">
        <v>22</v>
      </c>
      <c r="M59" t="str">
        <f t="shared" si="3"/>
        <v>Thu 4 Nov 2021 7:38 am IST</v>
      </c>
      <c r="N59" t="s">
        <v>938</v>
      </c>
      <c r="O59" s="7" t="str">
        <f t="shared" si="2"/>
        <v>Thu 4 Nov 2021 7:38 am</v>
      </c>
      <c r="P59" s="7">
        <v>44504</v>
      </c>
      <c r="Q59" t="s">
        <v>832</v>
      </c>
      <c r="R59" s="11" t="s">
        <v>316</v>
      </c>
      <c r="S59" t="str">
        <f t="shared" si="4"/>
        <v>MUMBAI</v>
      </c>
      <c r="T59" t="s">
        <v>980</v>
      </c>
      <c r="U59" t="s">
        <v>339</v>
      </c>
      <c r="V59" s="25" t="s">
        <v>1089</v>
      </c>
      <c r="W59" s="25">
        <v>84.96</v>
      </c>
      <c r="X59" t="s">
        <v>1108</v>
      </c>
      <c r="Y59" t="s">
        <v>1110</v>
      </c>
      <c r="Z59" s="32" t="str">
        <f t="array" ref="Z59">IF(ISNUMBER(SEARCH("lipstick",G59)),"lipstick cases,","")&amp; IF(ISNUMBER(SEARCH("piggy",G59)),"Piggy coin bank ","")&amp;IF(ISNUMBER(SEARCH("Jewelry",G59)),"Jewelry box ","")&amp; IF(ISNUMBER(SEARCH("clutch",G59)),"Clutch purse,","")&amp; IF(ISNUMBER(SEARCH("wallet",G59)),"Wallet ","")&amp; IF(ISNUMBER(SEARCH("sling",G59)),"Sling bag ", "")&amp; IF(ISNUMBER(SEARCH("shoulder bag",G59)),"Shoulder bag,","")&amp; IF(ISNUMBER(SEARCH("Handbag",G59)),"Handbag","")</f>
        <v xml:space="preserve">Jewelry box </v>
      </c>
      <c r="AA59" t="s">
        <v>1129</v>
      </c>
    </row>
    <row r="60" spans="1:27" ht="15.6" x14ac:dyDescent="0.3">
      <c r="A60" s="2" t="s">
        <v>317</v>
      </c>
      <c r="B60" s="5" t="s">
        <v>318</v>
      </c>
      <c r="C60" s="2" t="s">
        <v>319</v>
      </c>
      <c r="D60" s="2" t="s">
        <v>320</v>
      </c>
      <c r="E60" s="2" t="s">
        <v>247</v>
      </c>
      <c r="F60" s="2" t="s">
        <v>321</v>
      </c>
      <c r="G60" s="2" t="s">
        <v>322</v>
      </c>
      <c r="H60" s="20">
        <v>1</v>
      </c>
      <c r="I60" s="13">
        <v>1299</v>
      </c>
      <c r="J60" s="13">
        <v>178.18</v>
      </c>
      <c r="K60" s="2" t="s">
        <v>40</v>
      </c>
      <c r="L60" s="2" t="s">
        <v>22</v>
      </c>
      <c r="M60" t="str">
        <f t="shared" si="3"/>
        <v>Thu 11 Nov 2021 6:16 am IST</v>
      </c>
      <c r="N60" t="s">
        <v>938</v>
      </c>
      <c r="O60" s="7" t="str">
        <f t="shared" si="2"/>
        <v>Thu 11 Nov 2021 6:16 am</v>
      </c>
      <c r="P60" s="7">
        <v>44511</v>
      </c>
      <c r="Q60" t="s">
        <v>833</v>
      </c>
      <c r="R60" s="11" t="s">
        <v>319</v>
      </c>
      <c r="S60" t="str">
        <f t="shared" si="4"/>
        <v>Surat</v>
      </c>
      <c r="T60" t="s">
        <v>1012</v>
      </c>
      <c r="U60" t="s">
        <v>1062</v>
      </c>
      <c r="V60" s="25" t="s">
        <v>1090</v>
      </c>
      <c r="W60" s="25">
        <v>178.18</v>
      </c>
      <c r="X60" t="s">
        <v>1109</v>
      </c>
      <c r="Y60" t="s">
        <v>1110</v>
      </c>
      <c r="Z60" s="32" t="str">
        <f t="array" ref="Z60">IF(ISNUMBER(SEARCH("lipstick",G60)),"lipstick cases,","")&amp; IF(ISNUMBER(SEARCH("piggy",G60)),"Piggy coin bank ","")&amp;IF(ISNUMBER(SEARCH("Jewelry",G60)),"Jewelry box ","")&amp; IF(ISNUMBER(SEARCH("clutch",G60)),"Clutch purse,","")&amp; IF(ISNUMBER(SEARCH("wallet",G60)),"Wallet ","")&amp; IF(ISNUMBER(SEARCH("sling",G60)),"Sling bag ", "")&amp; IF(ISNUMBER(SEARCH("shoulder bag",G60)),"Shoulder bag,","")&amp; IF(ISNUMBER(SEARCH("Handbag",G60)),"Handbag","")</f>
        <v>Shoulder bag,Handbag</v>
      </c>
      <c r="AA60" t="s">
        <v>1129</v>
      </c>
    </row>
    <row r="61" spans="1:27" ht="15.6" x14ac:dyDescent="0.3">
      <c r="A61" s="2" t="s">
        <v>325</v>
      </c>
      <c r="B61" s="5" t="s">
        <v>326</v>
      </c>
      <c r="C61" s="2" t="s">
        <v>327</v>
      </c>
      <c r="D61" s="2" t="s">
        <v>328</v>
      </c>
      <c r="E61" s="2" t="s">
        <v>45</v>
      </c>
      <c r="F61" s="2" t="s">
        <v>163</v>
      </c>
      <c r="G61" s="2" t="s">
        <v>313</v>
      </c>
      <c r="H61" s="20">
        <v>1</v>
      </c>
      <c r="I61" s="13">
        <v>175</v>
      </c>
      <c r="J61" s="12" t="s">
        <v>21</v>
      </c>
      <c r="K61" s="2" t="s">
        <v>21</v>
      </c>
      <c r="L61" s="2" t="s">
        <v>22</v>
      </c>
      <c r="M61" t="str">
        <f t="shared" si="3"/>
        <v>Wed 16 Jun 2021 4:27 pm IST</v>
      </c>
      <c r="N61" t="s">
        <v>937</v>
      </c>
      <c r="O61" s="7" t="str">
        <f t="shared" si="2"/>
        <v>Wed 16 Jun 2021 4:27 pm</v>
      </c>
      <c r="P61" s="7">
        <v>44363</v>
      </c>
      <c r="Q61" t="s">
        <v>834</v>
      </c>
      <c r="R61" s="11" t="s">
        <v>954</v>
      </c>
      <c r="S61" t="str">
        <f t="shared" si="4"/>
        <v>THANE</v>
      </c>
      <c r="T61" t="s">
        <v>1013</v>
      </c>
      <c r="U61" t="s">
        <v>339</v>
      </c>
      <c r="V61" s="25" t="s">
        <v>1091</v>
      </c>
      <c r="X61" t="s">
        <v>1108</v>
      </c>
      <c r="Y61" t="s">
        <v>1110</v>
      </c>
      <c r="Z61" s="32" t="str">
        <f t="array" ref="Z61">IF(ISNUMBER(SEARCH("lipstick",G61)),"lipstick cases,","")&amp; IF(ISNUMBER(SEARCH("piggy",G61)),"Piggy coin bank ","")&amp;IF(ISNUMBER(SEARCH("Jewelry",G61)),"Jewelry box ","")&amp; IF(ISNUMBER(SEARCH("clutch",G61)),"Clutch purse,","")&amp; IF(ISNUMBER(SEARCH("wallet",G61)),"Wallet ","")&amp; IF(ISNUMBER(SEARCH("sling",G61)),"Sling bag ", "")&amp; IF(ISNUMBER(SEARCH("shoulder bag",G61)),"Shoulder bag,","")&amp; IF(ISNUMBER(SEARCH("Handbag",G61)),"Handbag","")</f>
        <v xml:space="preserve">Piggy coin bank </v>
      </c>
      <c r="AA61" t="s">
        <v>1131</v>
      </c>
    </row>
    <row r="62" spans="1:27" ht="15.6" x14ac:dyDescent="0.3">
      <c r="A62" s="2" t="s">
        <v>329</v>
      </c>
      <c r="B62" s="5" t="s">
        <v>330</v>
      </c>
      <c r="C62" s="2" t="s">
        <v>331</v>
      </c>
      <c r="D62" s="2" t="s">
        <v>332</v>
      </c>
      <c r="E62" s="2" t="s">
        <v>102</v>
      </c>
      <c r="F62" s="2" t="s">
        <v>333</v>
      </c>
      <c r="G62" s="2" t="s">
        <v>334</v>
      </c>
      <c r="H62" s="20">
        <v>1</v>
      </c>
      <c r="I62" s="13">
        <v>175</v>
      </c>
      <c r="J62" s="12" t="s">
        <v>21</v>
      </c>
      <c r="K62" s="2" t="s">
        <v>21</v>
      </c>
      <c r="L62" s="2" t="s">
        <v>22</v>
      </c>
      <c r="M62" t="str">
        <f t="shared" si="3"/>
        <v>Sun 13 Jun 2021 7:08 pm IST</v>
      </c>
      <c r="N62" t="s">
        <v>935</v>
      </c>
      <c r="O62" s="7" t="str">
        <f t="shared" si="2"/>
        <v>Sun 13 Jun 2021 7:08 pm</v>
      </c>
      <c r="P62" s="7">
        <v>44360</v>
      </c>
      <c r="Q62" t="s">
        <v>835</v>
      </c>
      <c r="R62" s="11" t="s">
        <v>331</v>
      </c>
      <c r="S62" t="str">
        <f t="shared" si="4"/>
        <v>POLLACHI</v>
      </c>
      <c r="T62" t="s">
        <v>1014</v>
      </c>
      <c r="U62" t="s">
        <v>1058</v>
      </c>
      <c r="V62" s="25" t="s">
        <v>1092</v>
      </c>
      <c r="X62" t="s">
        <v>1108</v>
      </c>
      <c r="Y62" t="s">
        <v>1110</v>
      </c>
      <c r="Z62" s="32" t="str">
        <f t="array" ref="Z62">IF(ISNUMBER(SEARCH("lipstick",G62)),"lipstick cases,","")&amp; IF(ISNUMBER(SEARCH("piggy",G62)),"Piggy coin bank ","")&amp;IF(ISNUMBER(SEARCH("Jewelry",G62)),"Jewelry box ","")&amp; IF(ISNUMBER(SEARCH("clutch",G62)),"Clutch purse,","")&amp; IF(ISNUMBER(SEARCH("wallet",G62)),"Wallet ","")&amp; IF(ISNUMBER(SEARCH("sling",G62)),"Sling bag ", "")&amp; IF(ISNUMBER(SEARCH("shoulder bag",G62)),"Shoulder bag,","")&amp; IF(ISNUMBER(SEARCH("Handbag",G62)),"Handbag","")</f>
        <v xml:space="preserve">Piggy coin bank </v>
      </c>
      <c r="AA62" t="s">
        <v>1131</v>
      </c>
    </row>
    <row r="63" spans="1:27" ht="15.6" x14ac:dyDescent="0.3">
      <c r="A63" s="2" t="s">
        <v>335</v>
      </c>
      <c r="B63" s="5" t="s">
        <v>336</v>
      </c>
      <c r="C63" s="2" t="s">
        <v>337</v>
      </c>
      <c r="D63" s="2" t="s">
        <v>338</v>
      </c>
      <c r="E63" s="2" t="s">
        <v>339</v>
      </c>
      <c r="F63" s="2" t="s">
        <v>184</v>
      </c>
      <c r="G63" s="2" t="s">
        <v>185</v>
      </c>
      <c r="H63" s="20">
        <v>1</v>
      </c>
      <c r="I63" s="13">
        <v>399</v>
      </c>
      <c r="J63" s="13">
        <v>84.96</v>
      </c>
      <c r="K63" s="2" t="s">
        <v>21</v>
      </c>
      <c r="L63" s="2" t="s">
        <v>22</v>
      </c>
      <c r="M63" t="str">
        <f t="shared" si="3"/>
        <v>Mon 29 Nov 2021 10:34 am IST</v>
      </c>
      <c r="N63" t="s">
        <v>940</v>
      </c>
      <c r="O63" s="7" t="str">
        <f t="shared" si="2"/>
        <v>Mon 29 Nov 2021 10:34 am</v>
      </c>
      <c r="P63" s="7">
        <v>44529</v>
      </c>
      <c r="Q63" t="s">
        <v>836</v>
      </c>
      <c r="R63" s="11" t="s">
        <v>337</v>
      </c>
      <c r="S63" t="str">
        <f t="shared" si="4"/>
        <v>Pune</v>
      </c>
      <c r="T63" t="s">
        <v>989</v>
      </c>
      <c r="U63" t="s">
        <v>339</v>
      </c>
      <c r="V63" s="25" t="s">
        <v>1093</v>
      </c>
      <c r="W63" s="25">
        <v>84.96</v>
      </c>
      <c r="X63" t="s">
        <v>1108</v>
      </c>
      <c r="Y63" t="s">
        <v>1110</v>
      </c>
      <c r="Z63" s="32" t="str">
        <f t="array" ref="Z63">IF(ISNUMBER(SEARCH("lipstick",G63)),"lipstick cases,","")&amp; IF(ISNUMBER(SEARCH("piggy",G63)),"Piggy coin bank ","")&amp;IF(ISNUMBER(SEARCH("Jewelry",G63)),"Jewelry box ","")&amp; IF(ISNUMBER(SEARCH("clutch",G63)),"Clutch purse,","")&amp; IF(ISNUMBER(SEARCH("wallet",G63)),"Wallet ","")&amp; IF(ISNUMBER(SEARCH("sling",G63)),"Sling bag ", "")&amp; IF(ISNUMBER(SEARCH("shoulder bag",G63)),"Shoulder bag,","")&amp; IF(ISNUMBER(SEARCH("Handbag",G63)),"Handbag","")</f>
        <v xml:space="preserve">Jewelry box </v>
      </c>
      <c r="AA63" t="s">
        <v>1129</v>
      </c>
    </row>
    <row r="64" spans="1:27" ht="15.6" x14ac:dyDescent="0.3">
      <c r="A64" s="2" t="s">
        <v>340</v>
      </c>
      <c r="B64" s="5" t="s">
        <v>341</v>
      </c>
      <c r="C64" s="2" t="s">
        <v>342</v>
      </c>
      <c r="D64" s="2" t="s">
        <v>44</v>
      </c>
      <c r="E64" s="2" t="s">
        <v>45</v>
      </c>
      <c r="F64" s="2" t="s">
        <v>343</v>
      </c>
      <c r="G64" s="2" t="s">
        <v>344</v>
      </c>
      <c r="H64" s="20">
        <v>1</v>
      </c>
      <c r="I64" s="13">
        <v>399</v>
      </c>
      <c r="J64" s="13">
        <v>84.96</v>
      </c>
      <c r="K64" s="2" t="s">
        <v>21</v>
      </c>
      <c r="L64" s="2" t="s">
        <v>22</v>
      </c>
      <c r="M64" t="str">
        <f t="shared" si="3"/>
        <v>Tue 26 Oct 2021 10:32 am IST</v>
      </c>
      <c r="N64" t="s">
        <v>936</v>
      </c>
      <c r="O64" s="7" t="str">
        <f t="shared" si="2"/>
        <v>Tue 26 Oct 2021 10:32 am</v>
      </c>
      <c r="P64" s="7">
        <v>44495</v>
      </c>
      <c r="Q64" t="s">
        <v>837</v>
      </c>
      <c r="R64" s="11" t="s">
        <v>342</v>
      </c>
      <c r="S64" t="str">
        <f t="shared" si="4"/>
        <v>MUMBAI</v>
      </c>
      <c r="T64" t="s">
        <v>980</v>
      </c>
      <c r="U64" t="s">
        <v>339</v>
      </c>
      <c r="V64" s="25" t="s">
        <v>1094</v>
      </c>
      <c r="W64" s="25">
        <v>84.96</v>
      </c>
      <c r="X64" t="s">
        <v>1108</v>
      </c>
      <c r="Y64" t="s">
        <v>1110</v>
      </c>
      <c r="Z64" s="32" t="str">
        <f t="array" ref="Z64">IF(ISNUMBER(SEARCH("lipstick",G64)),"lipstick cases,","")&amp; IF(ISNUMBER(SEARCH("piggy",G64)),"Piggy coin bank ","")&amp;IF(ISNUMBER(SEARCH("Jewelry",G64)),"Jewelry box ","")&amp; IF(ISNUMBER(SEARCH("clutch",G64)),"Clutch purse,","")&amp; IF(ISNUMBER(SEARCH("wallet",G64)),"Wallet ","")&amp; IF(ISNUMBER(SEARCH("sling",G64)),"Sling bag ", "")&amp; IF(ISNUMBER(SEARCH("shoulder bag",G64)),"Shoulder bag,","")&amp; IF(ISNUMBER(SEARCH("Handbag",G64)),"Handbag","")</f>
        <v xml:space="preserve">Clutch purse,Wallet </v>
      </c>
      <c r="AA64" t="s">
        <v>1128</v>
      </c>
    </row>
    <row r="65" spans="1:27" ht="15.6" x14ac:dyDescent="0.3">
      <c r="A65" s="2" t="s">
        <v>345</v>
      </c>
      <c r="B65" s="5" t="s">
        <v>346</v>
      </c>
      <c r="C65" s="2" t="s">
        <v>347</v>
      </c>
      <c r="D65" s="2" t="s">
        <v>348</v>
      </c>
      <c r="E65" s="2" t="s">
        <v>84</v>
      </c>
      <c r="F65" s="2" t="s">
        <v>163</v>
      </c>
      <c r="G65" s="2" t="s">
        <v>164</v>
      </c>
      <c r="H65" s="20">
        <v>1</v>
      </c>
      <c r="I65" s="13">
        <v>349</v>
      </c>
      <c r="J65" s="12" t="s">
        <v>21</v>
      </c>
      <c r="K65" s="2" t="s">
        <v>21</v>
      </c>
      <c r="L65" s="2" t="s">
        <v>22</v>
      </c>
      <c r="M65" t="str">
        <f t="shared" si="3"/>
        <v>Mon 28 Jun 2021 5:15 pm IST</v>
      </c>
      <c r="N65" t="s">
        <v>940</v>
      </c>
      <c r="O65" s="7" t="str">
        <f t="shared" si="2"/>
        <v>Mon 28 Jun 2021 5:15 pm</v>
      </c>
      <c r="P65" s="7">
        <v>44375</v>
      </c>
      <c r="Q65" t="s">
        <v>838</v>
      </c>
      <c r="R65" s="11" t="s">
        <v>347</v>
      </c>
      <c r="S65" t="str">
        <f t="shared" si="4"/>
        <v>RAIPUR</v>
      </c>
      <c r="T65" t="s">
        <v>1015</v>
      </c>
      <c r="U65" t="s">
        <v>1055</v>
      </c>
      <c r="V65" s="25" t="s">
        <v>1095</v>
      </c>
      <c r="X65" t="s">
        <v>1108</v>
      </c>
      <c r="Y65" t="s">
        <v>1110</v>
      </c>
      <c r="Z65" s="32" t="str">
        <f t="array" ref="Z65">IF(ISNUMBER(SEARCH("lipstick",G65)),"lipstick cases,","")&amp; IF(ISNUMBER(SEARCH("piggy",G65)),"Piggy coin bank ","")&amp;IF(ISNUMBER(SEARCH("Jewelry",G65)),"Jewelry box ","")&amp; IF(ISNUMBER(SEARCH("clutch",G65)),"Clutch purse,","")&amp; IF(ISNUMBER(SEARCH("wallet",G65)),"Wallet ","")&amp; IF(ISNUMBER(SEARCH("sling",G65)),"Sling bag ", "")&amp; IF(ISNUMBER(SEARCH("shoulder bag",G65)),"Shoulder bag,","")&amp; IF(ISNUMBER(SEARCH("Handbag",G65)),"Handbag","")</f>
        <v xml:space="preserve">Piggy coin bank </v>
      </c>
      <c r="AA65" t="s">
        <v>1131</v>
      </c>
    </row>
    <row r="66" spans="1:27" ht="15.6" x14ac:dyDescent="0.3">
      <c r="A66" s="2" t="s">
        <v>350</v>
      </c>
      <c r="B66" s="5" t="s">
        <v>351</v>
      </c>
      <c r="C66" s="2" t="s">
        <v>352</v>
      </c>
      <c r="D66" s="2" t="s">
        <v>156</v>
      </c>
      <c r="E66" s="2" t="s">
        <v>91</v>
      </c>
      <c r="F66" s="2" t="s">
        <v>28</v>
      </c>
      <c r="G66" s="2" t="s">
        <v>29</v>
      </c>
      <c r="H66" s="20">
        <v>1</v>
      </c>
      <c r="I66" s="9" t="s">
        <v>21</v>
      </c>
      <c r="J66" s="13">
        <v>84.96</v>
      </c>
      <c r="K66" s="2" t="s">
        <v>21</v>
      </c>
      <c r="L66" s="2" t="s">
        <v>22</v>
      </c>
      <c r="M66" t="str">
        <f t="shared" ref="M66:M97" si="5">SUBSTITUTE(B66,",","")</f>
        <v>Tue 9 Nov 2021 11:23 pm IST</v>
      </c>
      <c r="N66" t="s">
        <v>936</v>
      </c>
      <c r="O66" s="7" t="str">
        <f t="shared" si="2"/>
        <v>Tue 9 Nov 2021 11:23 pm</v>
      </c>
      <c r="P66" s="7">
        <v>44509</v>
      </c>
      <c r="Q66" t="s">
        <v>839</v>
      </c>
      <c r="R66" s="11" t="s">
        <v>352</v>
      </c>
      <c r="S66" t="str">
        <f t="shared" ref="S66:S97" si="6">SUBSTITUTE(D66,",","")</f>
        <v>GURUGRAM</v>
      </c>
      <c r="T66" t="s">
        <v>996</v>
      </c>
      <c r="U66" t="s">
        <v>1056</v>
      </c>
      <c r="V66" s="25" t="s">
        <v>1096</v>
      </c>
      <c r="W66" s="25">
        <v>84.96</v>
      </c>
      <c r="X66" t="s">
        <v>1108</v>
      </c>
      <c r="Y66" t="s">
        <v>1110</v>
      </c>
      <c r="Z66" s="32" t="str">
        <f t="array" ref="Z66">IF(ISNUMBER(SEARCH("lipstick",G66)),"lipstick cases,","")&amp; IF(ISNUMBER(SEARCH("piggy",G66)),"Piggy coin bank ","")&amp;IF(ISNUMBER(SEARCH("Jewelry",G66)),"Jewelry box ","")&amp; IF(ISNUMBER(SEARCH("clutch",G66)),"Clutch purse,","")&amp; IF(ISNUMBER(SEARCH("wallet",G66)),"Wallet ","")&amp; IF(ISNUMBER(SEARCH("sling",G66)),"Sling bag ", "")&amp; IF(ISNUMBER(SEARCH("shoulder bag",G66)),"Shoulder bag,","")&amp; IF(ISNUMBER(SEARCH("Handbag",G66)),"Handbag","")</f>
        <v xml:space="preserve">lipstick cases,Jewelry box </v>
      </c>
      <c r="AA66" t="s">
        <v>1129</v>
      </c>
    </row>
    <row r="67" spans="1:27" ht="15.6" x14ac:dyDescent="0.3">
      <c r="A67" s="2" t="s">
        <v>353</v>
      </c>
      <c r="B67" s="5" t="s">
        <v>354</v>
      </c>
      <c r="C67" s="2" t="s">
        <v>355</v>
      </c>
      <c r="D67" s="2" t="s">
        <v>69</v>
      </c>
      <c r="E67" s="2" t="s">
        <v>62</v>
      </c>
      <c r="F67" s="2" t="s">
        <v>28</v>
      </c>
      <c r="G67" s="2" t="s">
        <v>29</v>
      </c>
      <c r="H67" s="20">
        <v>1</v>
      </c>
      <c r="I67" s="13">
        <v>449</v>
      </c>
      <c r="J67" s="13">
        <v>84.96</v>
      </c>
      <c r="K67" s="2" t="s">
        <v>21</v>
      </c>
      <c r="L67" s="2" t="s">
        <v>22</v>
      </c>
      <c r="M67" t="str">
        <f t="shared" si="5"/>
        <v>Sun 7 Nov 2021 6:58 pm IST</v>
      </c>
      <c r="N67" t="s">
        <v>935</v>
      </c>
      <c r="O67" s="7" t="str">
        <f t="shared" ref="O67:O130" si="7">SUBSTITUTE(M67," IST","")</f>
        <v>Sun 7 Nov 2021 6:58 pm</v>
      </c>
      <c r="P67" s="7">
        <v>44507</v>
      </c>
      <c r="Q67" t="s">
        <v>840</v>
      </c>
      <c r="R67" s="11" t="s">
        <v>355</v>
      </c>
      <c r="S67" t="str">
        <f t="shared" si="6"/>
        <v>BAREILLY</v>
      </c>
      <c r="T67" t="s">
        <v>983</v>
      </c>
      <c r="U67" t="s">
        <v>1053</v>
      </c>
      <c r="V67" s="25" t="s">
        <v>1097</v>
      </c>
      <c r="W67" s="25">
        <v>84.96</v>
      </c>
      <c r="X67" t="s">
        <v>1108</v>
      </c>
      <c r="Y67" t="s">
        <v>1110</v>
      </c>
      <c r="Z67" s="32" t="str">
        <f t="array" ref="Z67">IF(ISNUMBER(SEARCH("lipstick",G67)),"lipstick cases,","")&amp; IF(ISNUMBER(SEARCH("piggy",G67)),"Piggy coin bank ","")&amp;IF(ISNUMBER(SEARCH("Jewelry",G67)),"Jewelry box ","")&amp; IF(ISNUMBER(SEARCH("clutch",G67)),"Clutch purse,","")&amp; IF(ISNUMBER(SEARCH("wallet",G67)),"Wallet ","")&amp; IF(ISNUMBER(SEARCH("sling",G67)),"Sling bag ", "")&amp; IF(ISNUMBER(SEARCH("shoulder bag",G67)),"Shoulder bag,","")&amp; IF(ISNUMBER(SEARCH("Handbag",G67)),"Handbag","")</f>
        <v xml:space="preserve">lipstick cases,Jewelry box </v>
      </c>
      <c r="AA67" t="s">
        <v>1129</v>
      </c>
    </row>
    <row r="68" spans="1:27" ht="15.6" x14ac:dyDescent="0.3">
      <c r="A68" s="2" t="s">
        <v>356</v>
      </c>
      <c r="B68" s="5" t="s">
        <v>357</v>
      </c>
      <c r="C68" s="2" t="s">
        <v>141</v>
      </c>
      <c r="D68" s="2" t="s">
        <v>44</v>
      </c>
      <c r="E68" s="2" t="s">
        <v>45</v>
      </c>
      <c r="F68" s="2" t="s">
        <v>358</v>
      </c>
      <c r="G68" s="2" t="s">
        <v>359</v>
      </c>
      <c r="H68" s="20">
        <v>1</v>
      </c>
      <c r="I68" s="13">
        <v>399</v>
      </c>
      <c r="J68" s="13">
        <v>84.96</v>
      </c>
      <c r="K68" s="2" t="s">
        <v>40</v>
      </c>
      <c r="L68" s="2" t="s">
        <v>22</v>
      </c>
      <c r="M68" t="str">
        <f t="shared" si="5"/>
        <v>Fri 1 Oct 2021 11:35 pm IST</v>
      </c>
      <c r="N68" t="s">
        <v>941</v>
      </c>
      <c r="O68" s="7" t="str">
        <f t="shared" si="7"/>
        <v>Fri 1 Oct 2021 11:35 pm</v>
      </c>
      <c r="P68" s="7">
        <v>44470</v>
      </c>
      <c r="Q68" t="s">
        <v>841</v>
      </c>
      <c r="R68" s="11" t="s">
        <v>141</v>
      </c>
      <c r="S68" t="str">
        <f t="shared" si="6"/>
        <v>MUMBAI</v>
      </c>
      <c r="T68" t="s">
        <v>980</v>
      </c>
      <c r="U68" t="s">
        <v>339</v>
      </c>
      <c r="V68" s="25" t="s">
        <v>1098</v>
      </c>
      <c r="W68" s="25">
        <v>84.96</v>
      </c>
      <c r="X68" t="s">
        <v>1109</v>
      </c>
      <c r="Y68" t="s">
        <v>1110</v>
      </c>
      <c r="Z68" s="32" t="str">
        <f t="array" ref="Z68">IF(ISNUMBER(SEARCH("lipstick",G68)),"lipstick cases,","")&amp; IF(ISNUMBER(SEARCH("piggy",G68)),"Piggy coin bank ","")&amp;IF(ISNUMBER(SEARCH("Jewelry",G68)),"Jewelry box ","")&amp; IF(ISNUMBER(SEARCH("clutch",G68)),"Clutch purse,","")&amp; IF(ISNUMBER(SEARCH("wallet",G68)),"Wallet ","")&amp; IF(ISNUMBER(SEARCH("sling",G68)),"Sling bag ", "")&amp; IF(ISNUMBER(SEARCH("shoulder bag",G68)),"Shoulder bag,","")&amp; IF(ISNUMBER(SEARCH("Handbag",G68)),"Handbag","")</f>
        <v xml:space="preserve">Clutch purse,Wallet </v>
      </c>
      <c r="AA68" t="s">
        <v>1128</v>
      </c>
    </row>
    <row r="69" spans="1:27" ht="15.6" x14ac:dyDescent="0.3">
      <c r="A69" s="2" t="s">
        <v>360</v>
      </c>
      <c r="B69" s="5" t="s">
        <v>361</v>
      </c>
      <c r="C69" s="2" t="s">
        <v>362</v>
      </c>
      <c r="D69" s="2" t="s">
        <v>363</v>
      </c>
      <c r="E69" s="2" t="s">
        <v>364</v>
      </c>
      <c r="F69" s="2" t="s">
        <v>28</v>
      </c>
      <c r="G69" s="2" t="s">
        <v>29</v>
      </c>
      <c r="H69" s="20">
        <v>1</v>
      </c>
      <c r="I69" s="13">
        <v>449</v>
      </c>
      <c r="J69" s="13">
        <v>84.96</v>
      </c>
      <c r="K69" s="2" t="s">
        <v>21</v>
      </c>
      <c r="L69" s="2" t="s">
        <v>22</v>
      </c>
      <c r="M69" t="str">
        <f t="shared" si="5"/>
        <v>Wed 10 Nov 2021 9:24 pm IST</v>
      </c>
      <c r="N69" t="s">
        <v>937</v>
      </c>
      <c r="O69" s="7" t="str">
        <f t="shared" si="7"/>
        <v>Wed 10 Nov 2021 9:24 pm</v>
      </c>
      <c r="P69" s="7">
        <v>44510</v>
      </c>
      <c r="Q69" t="s">
        <v>842</v>
      </c>
      <c r="R69" s="11" t="s">
        <v>362</v>
      </c>
      <c r="S69" t="str">
        <f t="shared" si="6"/>
        <v>JALANDHAR</v>
      </c>
      <c r="T69" t="s">
        <v>1016</v>
      </c>
      <c r="U69" t="s">
        <v>1039</v>
      </c>
      <c r="V69" s="25" t="s">
        <v>1099</v>
      </c>
      <c r="W69" s="25">
        <v>84.96</v>
      </c>
      <c r="X69" t="s">
        <v>1108</v>
      </c>
      <c r="Y69" t="s">
        <v>1110</v>
      </c>
      <c r="Z69" s="32" t="str">
        <f t="array" ref="Z69">IF(ISNUMBER(SEARCH("lipstick",G69)),"lipstick cases,","")&amp; IF(ISNUMBER(SEARCH("piggy",G69)),"Piggy coin bank ","")&amp;IF(ISNUMBER(SEARCH("Jewelry",G69)),"Jewelry box ","")&amp; IF(ISNUMBER(SEARCH("clutch",G69)),"Clutch purse,","")&amp; IF(ISNUMBER(SEARCH("wallet",G69)),"Wallet ","")&amp; IF(ISNUMBER(SEARCH("sling",G69)),"Sling bag ", "")&amp; IF(ISNUMBER(SEARCH("shoulder bag",G69)),"Shoulder bag,","")&amp; IF(ISNUMBER(SEARCH("Handbag",G69)),"Handbag","")</f>
        <v xml:space="preserve">lipstick cases,Jewelry box </v>
      </c>
      <c r="AA69" t="s">
        <v>1129</v>
      </c>
    </row>
    <row r="70" spans="1:27" ht="15.6" x14ac:dyDescent="0.3">
      <c r="A70" s="2" t="s">
        <v>365</v>
      </c>
      <c r="B70" s="5" t="s">
        <v>366</v>
      </c>
      <c r="C70" s="2" t="s">
        <v>367</v>
      </c>
      <c r="D70" s="2" t="s">
        <v>368</v>
      </c>
      <c r="E70" s="2" t="s">
        <v>102</v>
      </c>
      <c r="F70" s="2" t="s">
        <v>224</v>
      </c>
      <c r="G70" s="2" t="s">
        <v>369</v>
      </c>
      <c r="H70" s="20">
        <v>1</v>
      </c>
      <c r="I70" s="13">
        <v>449</v>
      </c>
      <c r="J70" s="12" t="s">
        <v>21</v>
      </c>
      <c r="K70" s="2" t="s">
        <v>21</v>
      </c>
      <c r="L70" s="2" t="s">
        <v>22</v>
      </c>
      <c r="M70" t="str">
        <f t="shared" si="5"/>
        <v>Wed 23 Jun 2021 6:09 am IST</v>
      </c>
      <c r="N70" t="s">
        <v>937</v>
      </c>
      <c r="O70" s="7" t="str">
        <f t="shared" si="7"/>
        <v>Wed 23 Jun 2021 6:09 am</v>
      </c>
      <c r="P70" s="7">
        <v>44370</v>
      </c>
      <c r="Q70" t="s">
        <v>843</v>
      </c>
      <c r="R70" s="11" t="s">
        <v>367</v>
      </c>
      <c r="S70" t="str">
        <f t="shared" si="6"/>
        <v>THISAYANVILAI</v>
      </c>
      <c r="T70" t="s">
        <v>1017</v>
      </c>
      <c r="U70" t="s">
        <v>1058</v>
      </c>
      <c r="V70" s="25" t="s">
        <v>1100</v>
      </c>
      <c r="X70" t="s">
        <v>1108</v>
      </c>
      <c r="Y70" t="s">
        <v>1110</v>
      </c>
      <c r="Z70" s="32" t="str">
        <f t="array" ref="Z70">IF(ISNUMBER(SEARCH("lipstick",G70)),"lipstick cases,","")&amp; IF(ISNUMBER(SEARCH("piggy",G70)),"Piggy coin bank ","")&amp;IF(ISNUMBER(SEARCH("Jewelry",G70)),"Jewelry box ","")&amp; IF(ISNUMBER(SEARCH("clutch",G70)),"Clutch purse,","")&amp; IF(ISNUMBER(SEARCH("wallet",G70)),"Wallet ","")&amp; IF(ISNUMBER(SEARCH("sling",G70)),"Sling bag ", "")&amp; IF(ISNUMBER(SEARCH("shoulder bag",G70)),"Shoulder bag,","")&amp; IF(ISNUMBER(SEARCH("Handbag",G70)),"Handbag","")</f>
        <v xml:space="preserve">Piggy coin bank </v>
      </c>
      <c r="AA70" t="s">
        <v>1131</v>
      </c>
    </row>
    <row r="71" spans="1:27" ht="15.6" x14ac:dyDescent="0.3">
      <c r="A71" s="2" t="s">
        <v>370</v>
      </c>
      <c r="B71" s="5" t="s">
        <v>371</v>
      </c>
      <c r="C71" s="2" t="s">
        <v>372</v>
      </c>
      <c r="D71" s="2" t="s">
        <v>373</v>
      </c>
      <c r="E71" s="2" t="s">
        <v>54</v>
      </c>
      <c r="F71" s="2" t="s">
        <v>28</v>
      </c>
      <c r="G71" s="2" t="s">
        <v>29</v>
      </c>
      <c r="H71" s="20">
        <v>1</v>
      </c>
      <c r="I71" s="13">
        <v>449</v>
      </c>
      <c r="J71" s="13">
        <v>47.2</v>
      </c>
      <c r="K71" s="2" t="s">
        <v>21</v>
      </c>
      <c r="L71" s="2" t="s">
        <v>22</v>
      </c>
      <c r="M71" t="str">
        <f t="shared" si="5"/>
        <v>Sun 19 Sept 2021 11:57 am IST</v>
      </c>
      <c r="N71" t="s">
        <v>935</v>
      </c>
      <c r="O71" s="7" t="str">
        <f t="shared" si="7"/>
        <v>Sun 19 Sept 2021 11:57 am</v>
      </c>
      <c r="P71" s="7">
        <v>44458</v>
      </c>
      <c r="Q71" t="s">
        <v>844</v>
      </c>
      <c r="R71" s="11" t="s">
        <v>372</v>
      </c>
      <c r="S71" t="str">
        <f t="shared" si="6"/>
        <v>BIDHAN NAGAR</v>
      </c>
      <c r="T71" t="s">
        <v>1018</v>
      </c>
      <c r="U71" t="s">
        <v>1052</v>
      </c>
      <c r="V71" s="25" t="s">
        <v>1101</v>
      </c>
      <c r="W71" s="25">
        <v>47.2</v>
      </c>
      <c r="X71" t="s">
        <v>1108</v>
      </c>
      <c r="Y71" t="s">
        <v>1110</v>
      </c>
      <c r="Z71" s="32" t="str">
        <f t="array" ref="Z71">IF(ISNUMBER(SEARCH("lipstick",G71)),"lipstick cases,","")&amp; IF(ISNUMBER(SEARCH("piggy",G71)),"Piggy coin bank ","")&amp;IF(ISNUMBER(SEARCH("Jewelry",G71)),"Jewelry box ","")&amp; IF(ISNUMBER(SEARCH("clutch",G71)),"Clutch purse,","")&amp; IF(ISNUMBER(SEARCH("wallet",G71)),"Wallet ","")&amp; IF(ISNUMBER(SEARCH("sling",G71)),"Sling bag ", "")&amp; IF(ISNUMBER(SEARCH("shoulder bag",G71)),"Shoulder bag,","")&amp; IF(ISNUMBER(SEARCH("Handbag",G71)),"Handbag","")</f>
        <v xml:space="preserve">lipstick cases,Jewelry box </v>
      </c>
      <c r="AA71" t="s">
        <v>1130</v>
      </c>
    </row>
    <row r="72" spans="1:27" ht="15.6" x14ac:dyDescent="0.3">
      <c r="A72" s="2" t="s">
        <v>374</v>
      </c>
      <c r="B72" s="5" t="s">
        <v>375</v>
      </c>
      <c r="C72" s="2" t="s">
        <v>198</v>
      </c>
      <c r="D72" s="2" t="s">
        <v>199</v>
      </c>
      <c r="E72" s="2" t="s">
        <v>84</v>
      </c>
      <c r="F72" s="2" t="s">
        <v>184</v>
      </c>
      <c r="G72" s="2" t="s">
        <v>185</v>
      </c>
      <c r="H72" s="20">
        <v>1</v>
      </c>
      <c r="I72" s="13">
        <v>399</v>
      </c>
      <c r="J72" s="13">
        <v>60.18</v>
      </c>
      <c r="K72" s="2" t="s">
        <v>21</v>
      </c>
      <c r="L72" s="2" t="s">
        <v>22</v>
      </c>
      <c r="M72" t="str">
        <f t="shared" si="5"/>
        <v>Sun 10 Oct 2021 11:02 pm IST</v>
      </c>
      <c r="N72" t="s">
        <v>935</v>
      </c>
      <c r="O72" s="7" t="str">
        <f t="shared" si="7"/>
        <v>Sun 10 Oct 2021 11:02 pm</v>
      </c>
      <c r="P72" s="7">
        <v>44479</v>
      </c>
      <c r="Q72" t="s">
        <v>845</v>
      </c>
      <c r="R72" s="11" t="s">
        <v>198</v>
      </c>
      <c r="S72" t="str">
        <f t="shared" si="6"/>
        <v>JAGDALPUR</v>
      </c>
      <c r="T72" t="s">
        <v>1002</v>
      </c>
      <c r="U72" t="s">
        <v>1055</v>
      </c>
      <c r="V72" s="25" t="s">
        <v>1102</v>
      </c>
      <c r="W72" s="25">
        <v>60.18</v>
      </c>
      <c r="X72" t="s">
        <v>1108</v>
      </c>
      <c r="Y72" t="s">
        <v>1110</v>
      </c>
      <c r="Z72" s="32" t="str">
        <f t="array" ref="Z72">IF(ISNUMBER(SEARCH("lipstick",G72)),"lipstick cases,","")&amp; IF(ISNUMBER(SEARCH("piggy",G72)),"Piggy coin bank ","")&amp;IF(ISNUMBER(SEARCH("Jewelry",G72)),"Jewelry box ","")&amp; IF(ISNUMBER(SEARCH("clutch",G72)),"Clutch purse,","")&amp; IF(ISNUMBER(SEARCH("wallet",G72)),"Wallet ","")&amp; IF(ISNUMBER(SEARCH("sling",G72)),"Sling bag ", "")&amp; IF(ISNUMBER(SEARCH("shoulder bag",G72)),"Shoulder bag,","")&amp; IF(ISNUMBER(SEARCH("Handbag",G72)),"Handbag","")</f>
        <v xml:space="preserve">Jewelry box </v>
      </c>
      <c r="AA72" t="s">
        <v>1128</v>
      </c>
    </row>
    <row r="73" spans="1:27" ht="15.6" x14ac:dyDescent="0.3">
      <c r="A73" s="2" t="s">
        <v>376</v>
      </c>
      <c r="B73" s="5" t="s">
        <v>377</v>
      </c>
      <c r="C73" s="2" t="s">
        <v>378</v>
      </c>
      <c r="D73" s="2" t="s">
        <v>120</v>
      </c>
      <c r="E73" s="2" t="s">
        <v>54</v>
      </c>
      <c r="F73" s="2" t="s">
        <v>379</v>
      </c>
      <c r="G73" s="2" t="s">
        <v>380</v>
      </c>
      <c r="H73" s="20">
        <v>1</v>
      </c>
      <c r="I73" s="13">
        <v>250</v>
      </c>
      <c r="J73" s="12" t="s">
        <v>21</v>
      </c>
      <c r="K73" s="2" t="s">
        <v>21</v>
      </c>
      <c r="L73" s="2" t="s">
        <v>22</v>
      </c>
      <c r="M73" t="str">
        <f t="shared" si="5"/>
        <v>Mon 16 Aug 2021 1:37 pm IST</v>
      </c>
      <c r="N73" t="s">
        <v>940</v>
      </c>
      <c r="O73" s="7" t="str">
        <f t="shared" si="7"/>
        <v>Mon 16 Aug 2021 1:37 pm</v>
      </c>
      <c r="P73" s="7">
        <v>44424</v>
      </c>
      <c r="Q73" t="s">
        <v>846</v>
      </c>
      <c r="R73" s="11" t="s">
        <v>378</v>
      </c>
      <c r="S73" t="str">
        <f t="shared" si="6"/>
        <v>KOLKATA</v>
      </c>
      <c r="T73" t="s">
        <v>991</v>
      </c>
      <c r="U73" t="s">
        <v>1052</v>
      </c>
      <c r="V73" s="25" t="s">
        <v>1103</v>
      </c>
      <c r="X73" t="s">
        <v>1108</v>
      </c>
      <c r="Y73" t="s">
        <v>1110</v>
      </c>
      <c r="Z73" s="32" t="str">
        <f t="array" ref="Z73">IF(ISNUMBER(SEARCH("lipstick",G73)),"lipstick cases,","")&amp; IF(ISNUMBER(SEARCH("piggy",G73)),"Piggy coin bank ","")&amp;IF(ISNUMBER(SEARCH("Jewelry",G73)),"Jewelry box ","")&amp; IF(ISNUMBER(SEARCH("clutch",G73)),"Clutch purse,","")&amp; IF(ISNUMBER(SEARCH("wallet",G73)),"Wallet ","")&amp; IF(ISNUMBER(SEARCH("sling",G73)),"Sling bag ", "")&amp; IF(ISNUMBER(SEARCH("shoulder bag",G73)),"Shoulder bag,","")&amp; IF(ISNUMBER(SEARCH("Handbag",G73)),"Handbag","")</f>
        <v xml:space="preserve">Jewelry box </v>
      </c>
      <c r="AA73" t="s">
        <v>1132</v>
      </c>
    </row>
    <row r="74" spans="1:27" ht="15.6" x14ac:dyDescent="0.3">
      <c r="A74" s="2" t="s">
        <v>381</v>
      </c>
      <c r="B74" s="5" t="s">
        <v>382</v>
      </c>
      <c r="C74" s="2" t="s">
        <v>383</v>
      </c>
      <c r="D74" s="2" t="s">
        <v>384</v>
      </c>
      <c r="E74" s="2" t="s">
        <v>183</v>
      </c>
      <c r="F74" s="2" t="s">
        <v>385</v>
      </c>
      <c r="G74" s="2" t="s">
        <v>386</v>
      </c>
      <c r="H74" s="20">
        <v>1</v>
      </c>
      <c r="I74" s="13">
        <v>349</v>
      </c>
      <c r="J74" s="12" t="s">
        <v>21</v>
      </c>
      <c r="K74" s="2" t="s">
        <v>21</v>
      </c>
      <c r="L74" s="2" t="s">
        <v>22</v>
      </c>
      <c r="M74" t="str">
        <f t="shared" si="5"/>
        <v>Thu 29 Jul 2021 6:04 pm IST</v>
      </c>
      <c r="N74" t="s">
        <v>938</v>
      </c>
      <c r="O74" s="7" t="str">
        <f t="shared" si="7"/>
        <v>Thu 29 Jul 2021 6:04 pm</v>
      </c>
      <c r="P74" s="7">
        <v>44406</v>
      </c>
      <c r="Q74" t="s">
        <v>847</v>
      </c>
      <c r="R74" s="11" t="s">
        <v>383</v>
      </c>
      <c r="S74" t="str">
        <f t="shared" si="6"/>
        <v>New Delhi</v>
      </c>
      <c r="T74" t="s">
        <v>999</v>
      </c>
      <c r="U74" t="s">
        <v>1059</v>
      </c>
      <c r="V74" s="25" t="s">
        <v>1104</v>
      </c>
      <c r="X74" t="s">
        <v>1108</v>
      </c>
      <c r="Y74" t="s">
        <v>1110</v>
      </c>
      <c r="Z74" s="32" t="str">
        <f t="array" ref="Z74">IF(ISNUMBER(SEARCH("lipstick",G74)),"lipstick cases,","")&amp; IF(ISNUMBER(SEARCH("piggy",G74)),"Piggy coin bank ","")&amp;IF(ISNUMBER(SEARCH("Jewelry",G74)),"Jewelry box ","")&amp; IF(ISNUMBER(SEARCH("clutch",G74)),"Clutch purse,","")&amp; IF(ISNUMBER(SEARCH("wallet",G74)),"Wallet ","")&amp; IF(ISNUMBER(SEARCH("sling",G74)),"Sling bag ", "")&amp; IF(ISNUMBER(SEARCH("shoulder bag",G74)),"Shoulder bag,","")&amp; IF(ISNUMBER(SEARCH("Handbag",G74)),"Handbag","")</f>
        <v xml:space="preserve">Piggy coin bank </v>
      </c>
      <c r="AA74" t="s">
        <v>1127</v>
      </c>
    </row>
    <row r="75" spans="1:27" ht="15.6" x14ac:dyDescent="0.3">
      <c r="A75" s="2" t="s">
        <v>387</v>
      </c>
      <c r="B75" s="5" t="s">
        <v>388</v>
      </c>
      <c r="C75" s="2" t="s">
        <v>389</v>
      </c>
      <c r="D75" s="2" t="s">
        <v>390</v>
      </c>
      <c r="E75" s="2" t="s">
        <v>102</v>
      </c>
      <c r="F75" s="2" t="s">
        <v>391</v>
      </c>
      <c r="G75" s="2" t="s">
        <v>392</v>
      </c>
      <c r="H75" s="20">
        <v>1</v>
      </c>
      <c r="I75" s="13">
        <v>549</v>
      </c>
      <c r="J75" s="12" t="s">
        <v>21</v>
      </c>
      <c r="K75" s="2" t="s">
        <v>40</v>
      </c>
      <c r="L75" s="2" t="s">
        <v>22</v>
      </c>
      <c r="M75" t="str">
        <f t="shared" si="5"/>
        <v>Wed 21 Jul 2021 7:40 pm IST</v>
      </c>
      <c r="N75" t="s">
        <v>937</v>
      </c>
      <c r="O75" s="7" t="str">
        <f t="shared" si="7"/>
        <v>Wed 21 Jul 2021 7:40 pm</v>
      </c>
      <c r="P75" s="7">
        <v>44398</v>
      </c>
      <c r="Q75" t="s">
        <v>848</v>
      </c>
      <c r="R75" s="11" t="s">
        <v>389</v>
      </c>
      <c r="S75" t="str">
        <f t="shared" si="6"/>
        <v>Tuticorin</v>
      </c>
      <c r="T75" t="s">
        <v>1019</v>
      </c>
      <c r="U75" t="s">
        <v>1058</v>
      </c>
      <c r="V75" s="25" t="s">
        <v>1105</v>
      </c>
      <c r="X75" t="s">
        <v>1109</v>
      </c>
      <c r="Y75" t="s">
        <v>1110</v>
      </c>
      <c r="Z75" s="32" t="str">
        <f t="array" ref="Z75">IF(ISNUMBER(SEARCH("lipstick",G75)),"lipstick cases,","")&amp; IF(ISNUMBER(SEARCH("piggy",G75)),"Piggy coin bank ","")&amp;IF(ISNUMBER(SEARCH("Jewelry",G75)),"Jewelry box ","")&amp; IF(ISNUMBER(SEARCH("clutch",G75)),"Clutch purse,","")&amp; IF(ISNUMBER(SEARCH("wallet",G75)),"Wallet ","")&amp; IF(ISNUMBER(SEARCH("sling",G75)),"Sling bag ", "")&amp; IF(ISNUMBER(SEARCH("shoulder bag",G75)),"Shoulder bag,","")&amp; IF(ISNUMBER(SEARCH("Handbag",G75)),"Handbag","")</f>
        <v xml:space="preserve">Piggy coin bank </v>
      </c>
      <c r="AA75" t="s">
        <v>1127</v>
      </c>
    </row>
    <row r="76" spans="1:27" ht="15.6" x14ac:dyDescent="0.3">
      <c r="A76" s="2" t="s">
        <v>393</v>
      </c>
      <c r="B76" s="5" t="s">
        <v>394</v>
      </c>
      <c r="C76" s="2" t="s">
        <v>395</v>
      </c>
      <c r="D76" s="2" t="s">
        <v>396</v>
      </c>
      <c r="E76" s="2" t="s">
        <v>397</v>
      </c>
      <c r="F76" s="2" t="s">
        <v>321</v>
      </c>
      <c r="G76" s="2" t="s">
        <v>322</v>
      </c>
      <c r="H76" s="20">
        <v>1</v>
      </c>
      <c r="I76" s="13">
        <v>1299</v>
      </c>
      <c r="J76" s="13">
        <v>210.04</v>
      </c>
      <c r="K76" s="2" t="s">
        <v>21</v>
      </c>
      <c r="L76" s="2" t="s">
        <v>22</v>
      </c>
      <c r="M76" t="str">
        <f t="shared" si="5"/>
        <v>Fri 12 Nov 2021 7:10 pm IST</v>
      </c>
      <c r="N76" t="s">
        <v>941</v>
      </c>
      <c r="O76" s="7" t="str">
        <f t="shared" si="7"/>
        <v>Fri 12 Nov 2021 7:10 pm</v>
      </c>
      <c r="P76" s="7">
        <v>44512</v>
      </c>
      <c r="Q76" t="s">
        <v>849</v>
      </c>
      <c r="R76" s="11" t="s">
        <v>395</v>
      </c>
      <c r="S76" t="str">
        <f t="shared" si="6"/>
        <v>JAIPUR</v>
      </c>
      <c r="T76" t="s">
        <v>1020</v>
      </c>
      <c r="U76" t="s">
        <v>1065</v>
      </c>
      <c r="V76" s="25" t="s">
        <v>1106</v>
      </c>
      <c r="W76" s="25">
        <v>210.04</v>
      </c>
      <c r="X76" t="s">
        <v>1108</v>
      </c>
      <c r="Y76" t="s">
        <v>1110</v>
      </c>
      <c r="Z76" s="32" t="str">
        <f t="array" ref="Z76">IF(ISNUMBER(SEARCH("lipstick",G76)),"lipstick cases,","")&amp; IF(ISNUMBER(SEARCH("piggy",G76)),"Piggy coin bank ","")&amp;IF(ISNUMBER(SEARCH("Jewelry",G76)),"Jewelry box ","")&amp; IF(ISNUMBER(SEARCH("clutch",G76)),"Clutch purse,","")&amp; IF(ISNUMBER(SEARCH("wallet",G76)),"Wallet ","")&amp; IF(ISNUMBER(SEARCH("sling",G76)),"Sling bag ", "")&amp; IF(ISNUMBER(SEARCH("shoulder bag",G76)),"Shoulder bag,","")&amp; IF(ISNUMBER(SEARCH("Handbag",G76)),"Handbag","")</f>
        <v>Shoulder bag,Handbag</v>
      </c>
      <c r="AA76" t="s">
        <v>1129</v>
      </c>
    </row>
    <row r="77" spans="1:27" ht="15.6" x14ac:dyDescent="0.3">
      <c r="A77" s="2" t="s">
        <v>399</v>
      </c>
      <c r="B77" s="5" t="s">
        <v>400</v>
      </c>
      <c r="C77" s="2" t="s">
        <v>401</v>
      </c>
      <c r="D77" s="2" t="s">
        <v>402</v>
      </c>
      <c r="E77" s="2" t="s">
        <v>102</v>
      </c>
      <c r="F77" s="2" t="s">
        <v>403</v>
      </c>
      <c r="G77" s="2" t="s">
        <v>404</v>
      </c>
      <c r="H77" s="20">
        <v>1</v>
      </c>
      <c r="I77" s="13">
        <v>449</v>
      </c>
      <c r="J77" s="13">
        <v>84.96</v>
      </c>
      <c r="K77" s="2" t="s">
        <v>21</v>
      </c>
      <c r="L77" s="2" t="s">
        <v>22</v>
      </c>
      <c r="M77" t="str">
        <f t="shared" si="5"/>
        <v>Sat 27 Nov 2021 9:28 pm IST</v>
      </c>
      <c r="N77" t="s">
        <v>939</v>
      </c>
      <c r="O77" s="7" t="str">
        <f t="shared" si="7"/>
        <v>Sat 27 Nov 2021 9:28 pm</v>
      </c>
      <c r="P77" s="7">
        <v>44527</v>
      </c>
      <c r="Q77" t="s">
        <v>850</v>
      </c>
      <c r="R77" s="11" t="s">
        <v>401</v>
      </c>
      <c r="S77" t="str">
        <f t="shared" si="6"/>
        <v>CHENNAI</v>
      </c>
      <c r="T77" t="s">
        <v>1021</v>
      </c>
      <c r="U77" t="s">
        <v>1058</v>
      </c>
      <c r="V77" s="25" t="s">
        <v>1072</v>
      </c>
      <c r="W77" s="25">
        <v>84.96</v>
      </c>
      <c r="X77" t="s">
        <v>1108</v>
      </c>
      <c r="Y77" t="s">
        <v>1110</v>
      </c>
      <c r="Z77" s="32" t="str">
        <f t="array" ref="Z77">IF(ISNUMBER(SEARCH("lipstick",G77)),"lipstick cases,","")&amp; IF(ISNUMBER(SEARCH("piggy",G77)),"Piggy coin bank ","")&amp;IF(ISNUMBER(SEARCH("Jewelry",G77)),"Jewelry box ","")&amp; IF(ISNUMBER(SEARCH("clutch",G77)),"Clutch purse,","")&amp; IF(ISNUMBER(SEARCH("wallet",G77)),"Wallet ","")&amp; IF(ISNUMBER(SEARCH("sling",G77)),"Sling bag ", "")&amp; IF(ISNUMBER(SEARCH("shoulder bag",G77)),"Shoulder bag,","")&amp; IF(ISNUMBER(SEARCH("Handbag",G77)),"Handbag","")</f>
        <v xml:space="preserve">Piggy coin bank </v>
      </c>
      <c r="AA77" t="s">
        <v>1129</v>
      </c>
    </row>
    <row r="78" spans="1:27" ht="15.6" x14ac:dyDescent="0.3">
      <c r="A78" s="2" t="s">
        <v>405</v>
      </c>
      <c r="B78" s="5" t="s">
        <v>406</v>
      </c>
      <c r="C78" s="2" t="s">
        <v>355</v>
      </c>
      <c r="D78" s="2" t="s">
        <v>136</v>
      </c>
      <c r="E78" s="2" t="s">
        <v>37</v>
      </c>
      <c r="F78" s="2" t="s">
        <v>295</v>
      </c>
      <c r="G78" s="2" t="s">
        <v>18</v>
      </c>
      <c r="H78" s="20">
        <v>1</v>
      </c>
      <c r="I78" s="13">
        <v>349</v>
      </c>
      <c r="J78" s="12" t="s">
        <v>21</v>
      </c>
      <c r="K78" s="2" t="s">
        <v>40</v>
      </c>
      <c r="L78" s="2" t="s">
        <v>22</v>
      </c>
      <c r="M78" t="str">
        <f t="shared" si="5"/>
        <v>Tue 13 Jul 2021 12:04 pm IST</v>
      </c>
      <c r="N78" t="s">
        <v>936</v>
      </c>
      <c r="O78" s="7" t="str">
        <f t="shared" si="7"/>
        <v>Tue 13 Jul 2021 12:04 pm</v>
      </c>
      <c r="P78" s="7">
        <v>44390</v>
      </c>
      <c r="Q78" t="s">
        <v>851</v>
      </c>
      <c r="R78" s="11" t="s">
        <v>355</v>
      </c>
      <c r="S78" t="str">
        <f t="shared" si="6"/>
        <v>HYDERABAD</v>
      </c>
      <c r="T78" t="s">
        <v>993</v>
      </c>
      <c r="U78" t="s">
        <v>1051</v>
      </c>
      <c r="V78" s="25" t="s">
        <v>1079</v>
      </c>
      <c r="X78" t="s">
        <v>1109</v>
      </c>
      <c r="Y78" t="s">
        <v>1110</v>
      </c>
      <c r="Z78" s="32" t="str">
        <f t="array" ref="Z78">IF(ISNUMBER(SEARCH("lipstick",G78)),"lipstick cases,","")&amp; IF(ISNUMBER(SEARCH("piggy",G78)),"Piggy coin bank ","")&amp;IF(ISNUMBER(SEARCH("Jewelry",G78)),"Jewelry box ","")&amp; IF(ISNUMBER(SEARCH("clutch",G78)),"Clutch purse,","")&amp; IF(ISNUMBER(SEARCH("wallet",G78)),"Wallet ","")&amp; IF(ISNUMBER(SEARCH("sling",G78)),"Sling bag ", "")&amp; IF(ISNUMBER(SEARCH("shoulder bag",G78)),"Shoulder bag,","")&amp; IF(ISNUMBER(SEARCH("Handbag",G78)),"Handbag","")</f>
        <v xml:space="preserve">Piggy coin bank </v>
      </c>
      <c r="AA78" t="s">
        <v>1127</v>
      </c>
    </row>
    <row r="79" spans="1:27" ht="15.6" x14ac:dyDescent="0.3">
      <c r="A79" s="2" t="s">
        <v>407</v>
      </c>
      <c r="B79" s="5" t="s">
        <v>408</v>
      </c>
      <c r="C79" s="2" t="s">
        <v>409</v>
      </c>
      <c r="D79" s="2" t="s">
        <v>410</v>
      </c>
      <c r="E79" s="2" t="s">
        <v>276</v>
      </c>
      <c r="F79" s="2" t="s">
        <v>211</v>
      </c>
      <c r="G79" s="2" t="s">
        <v>212</v>
      </c>
      <c r="H79" s="20">
        <v>1</v>
      </c>
      <c r="I79" s="13">
        <v>250</v>
      </c>
      <c r="J79" s="13">
        <v>84.96</v>
      </c>
      <c r="K79" s="2" t="s">
        <v>40</v>
      </c>
      <c r="L79" s="2" t="s">
        <v>22</v>
      </c>
      <c r="M79" t="str">
        <f t="shared" si="5"/>
        <v>Sun 19 Sept 2021 7:52 pm IST</v>
      </c>
      <c r="N79" t="s">
        <v>935</v>
      </c>
      <c r="O79" s="7" t="str">
        <f t="shared" si="7"/>
        <v>Sun 19 Sept 2021 7:52 pm</v>
      </c>
      <c r="P79" s="7">
        <v>44458</v>
      </c>
      <c r="Q79" t="s">
        <v>852</v>
      </c>
      <c r="R79" s="11" t="s">
        <v>409</v>
      </c>
      <c r="S79" t="str">
        <f t="shared" si="6"/>
        <v>PALAI</v>
      </c>
      <c r="T79" t="s">
        <v>1022</v>
      </c>
      <c r="U79" t="s">
        <v>1064</v>
      </c>
      <c r="V79" s="25" t="s">
        <v>1076</v>
      </c>
      <c r="W79" s="25">
        <v>84.96</v>
      </c>
      <c r="X79" t="s">
        <v>1109</v>
      </c>
      <c r="Y79" t="s">
        <v>1110</v>
      </c>
      <c r="Z79" s="32" t="str">
        <f t="array" ref="Z79">IF(ISNUMBER(SEARCH("lipstick",G79)),"lipstick cases,","")&amp; IF(ISNUMBER(SEARCH("piggy",G79)),"Piggy coin bank ","")&amp;IF(ISNUMBER(SEARCH("Jewelry",G79)),"Jewelry box ","")&amp; IF(ISNUMBER(SEARCH("clutch",G79)),"Clutch purse,","")&amp; IF(ISNUMBER(SEARCH("wallet",G79)),"Wallet ","")&amp; IF(ISNUMBER(SEARCH("sling",G79)),"Sling bag ", "")&amp; IF(ISNUMBER(SEARCH("shoulder bag",G79)),"Shoulder bag,","")&amp; IF(ISNUMBER(SEARCH("Handbag",G79)),"Handbag","")</f>
        <v xml:space="preserve">Jewelry box </v>
      </c>
      <c r="AA79" t="s">
        <v>1130</v>
      </c>
    </row>
    <row r="80" spans="1:27" ht="15.6" x14ac:dyDescent="0.3">
      <c r="A80" s="2" t="s">
        <v>411</v>
      </c>
      <c r="B80" s="5" t="s">
        <v>412</v>
      </c>
      <c r="C80" s="2" t="s">
        <v>413</v>
      </c>
      <c r="D80" s="2" t="s">
        <v>414</v>
      </c>
      <c r="E80" s="2" t="s">
        <v>84</v>
      </c>
      <c r="F80" s="2" t="s">
        <v>28</v>
      </c>
      <c r="G80" s="2" t="s">
        <v>29</v>
      </c>
      <c r="H80" s="20">
        <v>1</v>
      </c>
      <c r="I80" s="13">
        <v>449</v>
      </c>
      <c r="J80" s="13">
        <v>60.18</v>
      </c>
      <c r="K80" s="2" t="s">
        <v>21</v>
      </c>
      <c r="L80" s="2" t="s">
        <v>22</v>
      </c>
      <c r="M80" t="str">
        <f t="shared" si="5"/>
        <v>Thu 23 Sept 2021 3:19 pm IST</v>
      </c>
      <c r="N80" t="s">
        <v>938</v>
      </c>
      <c r="O80" s="7" t="str">
        <f t="shared" si="7"/>
        <v>Thu 23 Sept 2021 3:19 pm</v>
      </c>
      <c r="P80" s="7">
        <v>44462</v>
      </c>
      <c r="Q80" t="s">
        <v>853</v>
      </c>
      <c r="R80" s="11" t="s">
        <v>413</v>
      </c>
      <c r="S80" t="str">
        <f t="shared" si="6"/>
        <v>KORBA</v>
      </c>
      <c r="T80" t="s">
        <v>1023</v>
      </c>
      <c r="U80" t="s">
        <v>1055</v>
      </c>
      <c r="V80" s="25" t="s">
        <v>1072</v>
      </c>
      <c r="W80" s="25">
        <v>60.18</v>
      </c>
      <c r="X80" t="s">
        <v>1108</v>
      </c>
      <c r="Y80" t="s">
        <v>1110</v>
      </c>
      <c r="Z80" s="32" t="str">
        <f t="array" ref="Z80">IF(ISNUMBER(SEARCH("lipstick",G80)),"lipstick cases,","")&amp; IF(ISNUMBER(SEARCH("piggy",G80)),"Piggy coin bank ","")&amp;IF(ISNUMBER(SEARCH("Jewelry",G80)),"Jewelry box ","")&amp; IF(ISNUMBER(SEARCH("clutch",G80)),"Clutch purse,","")&amp; IF(ISNUMBER(SEARCH("wallet",G80)),"Wallet ","")&amp; IF(ISNUMBER(SEARCH("sling",G80)),"Sling bag ", "")&amp; IF(ISNUMBER(SEARCH("shoulder bag",G80)),"Shoulder bag,","")&amp; IF(ISNUMBER(SEARCH("Handbag",G80)),"Handbag","")</f>
        <v xml:space="preserve">lipstick cases,Jewelry box </v>
      </c>
      <c r="AA80" t="s">
        <v>1130</v>
      </c>
    </row>
    <row r="81" spans="1:27" ht="15.6" x14ac:dyDescent="0.3">
      <c r="A81" s="2" t="s">
        <v>415</v>
      </c>
      <c r="B81" s="5" t="s">
        <v>416</v>
      </c>
      <c r="C81" s="2" t="s">
        <v>417</v>
      </c>
      <c r="D81" s="2" t="s">
        <v>76</v>
      </c>
      <c r="E81" s="2" t="s">
        <v>77</v>
      </c>
      <c r="F81" s="2" t="s">
        <v>418</v>
      </c>
      <c r="G81" s="2" t="s">
        <v>419</v>
      </c>
      <c r="H81" s="20">
        <v>1</v>
      </c>
      <c r="I81" s="13">
        <v>549</v>
      </c>
      <c r="J81" s="13">
        <v>84.96</v>
      </c>
      <c r="K81" s="2" t="s">
        <v>21</v>
      </c>
      <c r="L81" s="2" t="s">
        <v>22</v>
      </c>
      <c r="M81" t="str">
        <f t="shared" si="5"/>
        <v>Sun 24 Oct 2021 6:56 pm IST</v>
      </c>
      <c r="N81" t="s">
        <v>935</v>
      </c>
      <c r="O81" s="7" t="str">
        <f t="shared" si="7"/>
        <v>Sun 24 Oct 2021 6:56 pm</v>
      </c>
      <c r="P81" s="7">
        <v>44493</v>
      </c>
      <c r="Q81" t="s">
        <v>854</v>
      </c>
      <c r="R81" s="11" t="s">
        <v>417</v>
      </c>
      <c r="S81" t="str">
        <f t="shared" si="6"/>
        <v>BENGALURU</v>
      </c>
      <c r="T81" t="s">
        <v>984</v>
      </c>
      <c r="U81" t="s">
        <v>1054</v>
      </c>
      <c r="V81" s="25" t="s">
        <v>1077</v>
      </c>
      <c r="W81" s="25">
        <v>84.96</v>
      </c>
      <c r="X81" t="s">
        <v>1108</v>
      </c>
      <c r="Y81" t="s">
        <v>1110</v>
      </c>
      <c r="Z81" s="32" t="str">
        <f t="array" ref="Z81">IF(ISNUMBER(SEARCH("lipstick",G81)),"lipstick cases,","")&amp; IF(ISNUMBER(SEARCH("piggy",G81)),"Piggy coin bank ","")&amp;IF(ISNUMBER(SEARCH("Jewelry",G81)),"Jewelry box ","")&amp; IF(ISNUMBER(SEARCH("clutch",G81)),"Clutch purse,","")&amp; IF(ISNUMBER(SEARCH("wallet",G81)),"Wallet ","")&amp; IF(ISNUMBER(SEARCH("sling",G81)),"Sling bag ", "")&amp; IF(ISNUMBER(SEARCH("shoulder bag",G81)),"Shoulder bag,","")&amp; IF(ISNUMBER(SEARCH("Handbag",G81)),"Handbag","")</f>
        <v xml:space="preserve">Piggy coin bank </v>
      </c>
      <c r="AA81" t="s">
        <v>1128</v>
      </c>
    </row>
    <row r="82" spans="1:27" ht="15.6" x14ac:dyDescent="0.3">
      <c r="A82" s="2" t="s">
        <v>420</v>
      </c>
      <c r="B82" s="5" t="s">
        <v>421</v>
      </c>
      <c r="C82" s="2" t="s">
        <v>422</v>
      </c>
      <c r="D82" s="2" t="s">
        <v>136</v>
      </c>
      <c r="E82" s="2" t="s">
        <v>37</v>
      </c>
      <c r="F82" s="2" t="s">
        <v>234</v>
      </c>
      <c r="G82" s="2" t="s">
        <v>235</v>
      </c>
      <c r="H82" s="20">
        <v>1</v>
      </c>
      <c r="I82" s="13">
        <v>399</v>
      </c>
      <c r="J82" s="13">
        <v>84.96</v>
      </c>
      <c r="K82" s="2" t="s">
        <v>21</v>
      </c>
      <c r="L82" s="2" t="s">
        <v>22</v>
      </c>
      <c r="M82" t="str">
        <f t="shared" si="5"/>
        <v>Wed 10 Nov 2021 6:00 pm IST</v>
      </c>
      <c r="N82" t="s">
        <v>937</v>
      </c>
      <c r="O82" s="7" t="str">
        <f t="shared" si="7"/>
        <v>Wed 10 Nov 2021 6:00 pm</v>
      </c>
      <c r="P82" s="7">
        <v>44510</v>
      </c>
      <c r="Q82" t="s">
        <v>855</v>
      </c>
      <c r="R82" s="11" t="s">
        <v>422</v>
      </c>
      <c r="S82" t="str">
        <f t="shared" si="6"/>
        <v>HYDERABAD</v>
      </c>
      <c r="T82" t="s">
        <v>993</v>
      </c>
      <c r="U82" t="s">
        <v>1051</v>
      </c>
      <c r="V82" s="25" t="s">
        <v>1074</v>
      </c>
      <c r="W82" s="25">
        <v>84.96</v>
      </c>
      <c r="X82" t="s">
        <v>1108</v>
      </c>
      <c r="Y82" t="s">
        <v>1110</v>
      </c>
      <c r="Z82" s="32" t="str">
        <f t="array" ref="Z82">IF(ISNUMBER(SEARCH("lipstick",G82)),"lipstick cases,","")&amp; IF(ISNUMBER(SEARCH("piggy",G82)),"Piggy coin bank ","")&amp;IF(ISNUMBER(SEARCH("Jewelry",G82)),"Jewelry box ","")&amp; IF(ISNUMBER(SEARCH("clutch",G82)),"Clutch purse,","")&amp; IF(ISNUMBER(SEARCH("wallet",G82)),"Wallet ","")&amp; IF(ISNUMBER(SEARCH("sling",G82)),"Sling bag ", "")&amp; IF(ISNUMBER(SEARCH("shoulder bag",G82)),"Shoulder bag,","")&amp; IF(ISNUMBER(SEARCH("Handbag",G82)),"Handbag","")</f>
        <v xml:space="preserve">Jewelry box </v>
      </c>
      <c r="AA82" t="s">
        <v>1129</v>
      </c>
    </row>
    <row r="83" spans="1:27" ht="15.6" x14ac:dyDescent="0.3">
      <c r="A83" s="2" t="s">
        <v>423</v>
      </c>
      <c r="B83" s="5" t="s">
        <v>424</v>
      </c>
      <c r="C83" s="2" t="s">
        <v>425</v>
      </c>
      <c r="D83" s="2" t="s">
        <v>120</v>
      </c>
      <c r="E83" s="2" t="s">
        <v>54</v>
      </c>
      <c r="F83" s="2" t="s">
        <v>426</v>
      </c>
      <c r="G83" s="2" t="s">
        <v>427</v>
      </c>
      <c r="H83" s="20">
        <v>1</v>
      </c>
      <c r="I83" s="13">
        <v>399</v>
      </c>
      <c r="J83" s="13">
        <v>47.2</v>
      </c>
      <c r="K83" s="2" t="s">
        <v>21</v>
      </c>
      <c r="L83" s="2" t="s">
        <v>22</v>
      </c>
      <c r="M83" t="str">
        <f t="shared" si="5"/>
        <v>Thu 18 Nov 2021 12:32 am IST</v>
      </c>
      <c r="N83" t="s">
        <v>938</v>
      </c>
      <c r="O83" s="7" t="str">
        <f t="shared" si="7"/>
        <v>Thu 18 Nov 2021 12:32 am</v>
      </c>
      <c r="P83" s="7">
        <v>44518</v>
      </c>
      <c r="Q83" t="s">
        <v>856</v>
      </c>
      <c r="R83" s="11" t="s">
        <v>425</v>
      </c>
      <c r="S83" t="str">
        <f t="shared" si="6"/>
        <v>KOLKATA</v>
      </c>
      <c r="T83" t="s">
        <v>991</v>
      </c>
      <c r="U83" t="s">
        <v>1052</v>
      </c>
      <c r="V83" s="25" t="s">
        <v>1074</v>
      </c>
      <c r="W83" s="25">
        <v>47.2</v>
      </c>
      <c r="X83" t="s">
        <v>1108</v>
      </c>
      <c r="Y83" t="s">
        <v>1110</v>
      </c>
      <c r="Z83" s="32" t="str">
        <f t="array" ref="Z83">IF(ISNUMBER(SEARCH("lipstick",G83)),"lipstick cases,","")&amp; IF(ISNUMBER(SEARCH("piggy",G83)),"Piggy coin bank ","")&amp;IF(ISNUMBER(SEARCH("Jewelry",G83)),"Jewelry box ","")&amp; IF(ISNUMBER(SEARCH("clutch",G83)),"Clutch purse,","")&amp; IF(ISNUMBER(SEARCH("wallet",G83)),"Wallet ","")&amp; IF(ISNUMBER(SEARCH("sling",G83)),"Sling bag ", "")&amp; IF(ISNUMBER(SEARCH("shoulder bag",G83)),"Shoulder bag,","")&amp; IF(ISNUMBER(SEARCH("Handbag",G83)),"Handbag","")</f>
        <v xml:space="preserve">Clutch purse,Wallet </v>
      </c>
      <c r="AA83" t="s">
        <v>1129</v>
      </c>
    </row>
    <row r="84" spans="1:27" ht="15.6" x14ac:dyDescent="0.3">
      <c r="A84" s="2" t="s">
        <v>428</v>
      </c>
      <c r="B84" s="5" t="s">
        <v>429</v>
      </c>
      <c r="C84" s="2" t="s">
        <v>316</v>
      </c>
      <c r="D84" s="2" t="s">
        <v>44</v>
      </c>
      <c r="E84" s="2" t="s">
        <v>45</v>
      </c>
      <c r="F84" s="2" t="s">
        <v>200</v>
      </c>
      <c r="G84" s="2" t="s">
        <v>201</v>
      </c>
      <c r="H84" s="20">
        <v>1</v>
      </c>
      <c r="I84" s="13">
        <v>399</v>
      </c>
      <c r="J84" s="13">
        <v>84.96</v>
      </c>
      <c r="K84" s="2" t="s">
        <v>21</v>
      </c>
      <c r="L84" s="2" t="s">
        <v>22</v>
      </c>
      <c r="M84" t="str">
        <f t="shared" si="5"/>
        <v>Thu 4 Nov 2021 8:52 am IST</v>
      </c>
      <c r="N84" t="s">
        <v>938</v>
      </c>
      <c r="O84" s="7" t="str">
        <f t="shared" si="7"/>
        <v>Thu 4 Nov 2021 8:52 am</v>
      </c>
      <c r="P84" s="7">
        <v>44504</v>
      </c>
      <c r="Q84" t="s">
        <v>857</v>
      </c>
      <c r="R84" s="11" t="s">
        <v>316</v>
      </c>
      <c r="S84" t="str">
        <f t="shared" si="6"/>
        <v>MUMBAI</v>
      </c>
      <c r="T84" t="s">
        <v>980</v>
      </c>
      <c r="U84" t="s">
        <v>339</v>
      </c>
      <c r="V84" s="25" t="s">
        <v>1074</v>
      </c>
      <c r="W84" s="25">
        <v>84.96</v>
      </c>
      <c r="X84" t="s">
        <v>1108</v>
      </c>
      <c r="Y84" t="s">
        <v>1110</v>
      </c>
      <c r="Z84" s="32" t="str">
        <f t="array" ref="Z84">IF(ISNUMBER(SEARCH("lipstick",G84)),"lipstick cases,","")&amp; IF(ISNUMBER(SEARCH("piggy",G84)),"Piggy coin bank ","")&amp;IF(ISNUMBER(SEARCH("Jewelry",G84)),"Jewelry box ","")&amp; IF(ISNUMBER(SEARCH("clutch",G84)),"Clutch purse,","")&amp; IF(ISNUMBER(SEARCH("wallet",G84)),"Wallet ","")&amp; IF(ISNUMBER(SEARCH("sling",G84)),"Sling bag ", "")&amp; IF(ISNUMBER(SEARCH("shoulder bag",G84)),"Shoulder bag,","")&amp; IF(ISNUMBER(SEARCH("Handbag",G84)),"Handbag","")</f>
        <v xml:space="preserve">Jewelry box </v>
      </c>
      <c r="AA84" t="s">
        <v>1129</v>
      </c>
    </row>
    <row r="85" spans="1:27" ht="15.6" x14ac:dyDescent="0.3">
      <c r="A85" s="2" t="s">
        <v>430</v>
      </c>
      <c r="B85" s="5" t="s">
        <v>431</v>
      </c>
      <c r="C85" s="2" t="s">
        <v>432</v>
      </c>
      <c r="D85" s="2" t="s">
        <v>76</v>
      </c>
      <c r="E85" s="2" t="s">
        <v>77</v>
      </c>
      <c r="F85" s="2" t="s">
        <v>433</v>
      </c>
      <c r="G85" s="2" t="s">
        <v>434</v>
      </c>
      <c r="H85" s="20">
        <v>1</v>
      </c>
      <c r="I85" s="13">
        <v>549</v>
      </c>
      <c r="J85" s="13">
        <v>114.46</v>
      </c>
      <c r="K85" s="2" t="s">
        <v>21</v>
      </c>
      <c r="L85" s="2" t="s">
        <v>22</v>
      </c>
      <c r="M85" t="str">
        <f t="shared" si="5"/>
        <v>Wed 1 Sept 2021 11:32 am IST</v>
      </c>
      <c r="N85" t="s">
        <v>937</v>
      </c>
      <c r="O85" s="7" t="str">
        <f t="shared" si="7"/>
        <v>Wed 1 Sept 2021 11:32 am</v>
      </c>
      <c r="P85" s="7">
        <v>44440</v>
      </c>
      <c r="Q85" t="s">
        <v>858</v>
      </c>
      <c r="R85" s="11" t="s">
        <v>432</v>
      </c>
      <c r="S85" t="str">
        <f t="shared" si="6"/>
        <v>BENGALURU</v>
      </c>
      <c r="T85" t="s">
        <v>984</v>
      </c>
      <c r="U85" t="s">
        <v>1054</v>
      </c>
      <c r="V85" s="25" t="s">
        <v>1077</v>
      </c>
      <c r="W85" s="25">
        <v>114.46</v>
      </c>
      <c r="X85" t="s">
        <v>1108</v>
      </c>
      <c r="Y85" t="s">
        <v>1110</v>
      </c>
      <c r="Z85" s="32" t="str">
        <f t="array" ref="Z85">IF(ISNUMBER(SEARCH("lipstick",G85)),"lipstick cases,","")&amp; IF(ISNUMBER(SEARCH("piggy",G85)),"Piggy coin bank ","")&amp;IF(ISNUMBER(SEARCH("Jewelry",G85)),"Jewelry box ","")&amp; IF(ISNUMBER(SEARCH("clutch",G85)),"Clutch purse,","")&amp; IF(ISNUMBER(SEARCH("wallet",G85)),"Wallet ","")&amp; IF(ISNUMBER(SEARCH("sling",G85)),"Sling bag ", "")&amp; IF(ISNUMBER(SEARCH("shoulder bag",G85)),"Shoulder bag,","")&amp; IF(ISNUMBER(SEARCH("Handbag",G85)),"Handbag","")</f>
        <v xml:space="preserve">Piggy coin bank </v>
      </c>
      <c r="AA85" t="s">
        <v>1130</v>
      </c>
    </row>
    <row r="86" spans="1:27" ht="15.6" x14ac:dyDescent="0.3">
      <c r="A86" s="2" t="s">
        <v>435</v>
      </c>
      <c r="B86" s="5" t="s">
        <v>436</v>
      </c>
      <c r="C86" s="2" t="s">
        <v>130</v>
      </c>
      <c r="D86" s="2" t="s">
        <v>44</v>
      </c>
      <c r="E86" s="2" t="s">
        <v>45</v>
      </c>
      <c r="F86" s="2" t="s">
        <v>131</v>
      </c>
      <c r="G86" s="2" t="s">
        <v>132</v>
      </c>
      <c r="H86" s="20">
        <v>1</v>
      </c>
      <c r="I86" s="13">
        <v>449</v>
      </c>
      <c r="J86" s="13">
        <v>84.96</v>
      </c>
      <c r="K86" s="2" t="s">
        <v>21</v>
      </c>
      <c r="L86" s="2" t="s">
        <v>22</v>
      </c>
      <c r="M86" t="str">
        <f t="shared" si="5"/>
        <v>Sat 20 Nov 2021 2:41 am IST</v>
      </c>
      <c r="N86" t="s">
        <v>939</v>
      </c>
      <c r="O86" s="7" t="str">
        <f t="shared" si="7"/>
        <v>Sat 20 Nov 2021 2:41 am</v>
      </c>
      <c r="P86" s="7">
        <v>44520</v>
      </c>
      <c r="Q86" t="s">
        <v>859</v>
      </c>
      <c r="R86" s="11" t="s">
        <v>945</v>
      </c>
      <c r="S86" t="str">
        <f t="shared" si="6"/>
        <v>MUMBAI</v>
      </c>
      <c r="T86" t="s">
        <v>980</v>
      </c>
      <c r="U86" t="s">
        <v>339</v>
      </c>
      <c r="V86" s="25" t="s">
        <v>1072</v>
      </c>
      <c r="W86" s="25">
        <v>84.96</v>
      </c>
      <c r="X86" t="s">
        <v>1108</v>
      </c>
      <c r="Y86" t="s">
        <v>1110</v>
      </c>
      <c r="Z86" s="32" t="str">
        <f t="array" ref="Z86">IF(ISNUMBER(SEARCH("lipstick",G86)),"lipstick cases,","")&amp; IF(ISNUMBER(SEARCH("piggy",G86)),"Piggy coin bank ","")&amp;IF(ISNUMBER(SEARCH("Jewelry",G86)),"Jewelry box ","")&amp; IF(ISNUMBER(SEARCH("clutch",G86)),"Clutch purse,","")&amp; IF(ISNUMBER(SEARCH("wallet",G86)),"Wallet ","")&amp; IF(ISNUMBER(SEARCH("sling",G86)),"Sling bag ", "")&amp; IF(ISNUMBER(SEARCH("shoulder bag",G86)),"Shoulder bag,","")&amp; IF(ISNUMBER(SEARCH("Handbag",G86)),"Handbag","")</f>
        <v xml:space="preserve">Piggy coin bank </v>
      </c>
      <c r="AA86" t="s">
        <v>1129</v>
      </c>
    </row>
    <row r="87" spans="1:27" ht="15.6" x14ac:dyDescent="0.3">
      <c r="A87" s="2" t="s">
        <v>437</v>
      </c>
      <c r="B87" s="5" t="s">
        <v>438</v>
      </c>
      <c r="C87" s="2" t="s">
        <v>439</v>
      </c>
      <c r="D87" s="2" t="s">
        <v>402</v>
      </c>
      <c r="E87" s="2" t="s">
        <v>102</v>
      </c>
      <c r="F87" s="2" t="s">
        <v>440</v>
      </c>
      <c r="G87" s="2" t="s">
        <v>441</v>
      </c>
      <c r="H87" s="20">
        <v>1</v>
      </c>
      <c r="I87" s="13">
        <v>250</v>
      </c>
      <c r="J87" s="13">
        <v>81.42</v>
      </c>
      <c r="K87" s="2" t="s">
        <v>40</v>
      </c>
      <c r="L87" s="2" t="s">
        <v>22</v>
      </c>
      <c r="M87" t="str">
        <f t="shared" si="5"/>
        <v>Sun 29 Aug 2021 11:28 pm IST</v>
      </c>
      <c r="N87" t="s">
        <v>935</v>
      </c>
      <c r="O87" s="7" t="str">
        <f t="shared" si="7"/>
        <v>Sun 29 Aug 2021 11:28 pm</v>
      </c>
      <c r="P87" s="7">
        <v>44437</v>
      </c>
      <c r="Q87" t="s">
        <v>822</v>
      </c>
      <c r="R87" s="11" t="s">
        <v>439</v>
      </c>
      <c r="S87" t="str">
        <f t="shared" si="6"/>
        <v>CHENNAI</v>
      </c>
      <c r="T87" t="s">
        <v>1021</v>
      </c>
      <c r="U87" t="s">
        <v>1058</v>
      </c>
      <c r="V87" s="25" t="s">
        <v>1076</v>
      </c>
      <c r="W87" s="25">
        <v>81.42</v>
      </c>
      <c r="X87" t="s">
        <v>1109</v>
      </c>
      <c r="Y87" t="s">
        <v>1110</v>
      </c>
      <c r="Z87" s="32" t="str">
        <f t="array" ref="Z87">IF(ISNUMBER(SEARCH("lipstick",G87)),"lipstick cases,","")&amp; IF(ISNUMBER(SEARCH("piggy",G87)),"Piggy coin bank ","")&amp;IF(ISNUMBER(SEARCH("Jewelry",G87)),"Jewelry box ","")&amp; IF(ISNUMBER(SEARCH("clutch",G87)),"Clutch purse,","")&amp; IF(ISNUMBER(SEARCH("wallet",G87)),"Wallet ","")&amp; IF(ISNUMBER(SEARCH("sling",G87)),"Sling bag ", "")&amp; IF(ISNUMBER(SEARCH("shoulder bag",G87)),"Shoulder bag,","")&amp; IF(ISNUMBER(SEARCH("Handbag",G87)),"Handbag","")</f>
        <v xml:space="preserve">Jewelry box </v>
      </c>
      <c r="AA87" t="s">
        <v>1132</v>
      </c>
    </row>
    <row r="88" spans="1:27" ht="15.6" x14ac:dyDescent="0.3">
      <c r="A88" s="2" t="s">
        <v>442</v>
      </c>
      <c r="B88" s="5" t="s">
        <v>443</v>
      </c>
      <c r="C88" s="2" t="s">
        <v>444</v>
      </c>
      <c r="D88" s="2" t="s">
        <v>257</v>
      </c>
      <c r="E88" s="2" t="s">
        <v>45</v>
      </c>
      <c r="F88" s="2" t="s">
        <v>28</v>
      </c>
      <c r="G88" s="2" t="s">
        <v>29</v>
      </c>
      <c r="H88" s="20">
        <v>2</v>
      </c>
      <c r="I88" s="13">
        <v>898</v>
      </c>
      <c r="J88" s="13">
        <v>84.96</v>
      </c>
      <c r="K88" s="2" t="s">
        <v>21</v>
      </c>
      <c r="L88" s="2" t="s">
        <v>22</v>
      </c>
      <c r="M88" t="str">
        <f t="shared" si="5"/>
        <v>Sun 17 Oct 2021 10:22 am IST</v>
      </c>
      <c r="N88" t="s">
        <v>935</v>
      </c>
      <c r="O88" s="7" t="str">
        <f t="shared" si="7"/>
        <v>Sun 17 Oct 2021 10:22 am</v>
      </c>
      <c r="P88" s="7">
        <v>44486</v>
      </c>
      <c r="Q88" t="s">
        <v>860</v>
      </c>
      <c r="R88" s="11" t="s">
        <v>444</v>
      </c>
      <c r="S88" t="str">
        <f t="shared" si="6"/>
        <v>Mumbai</v>
      </c>
      <c r="T88" t="s">
        <v>980</v>
      </c>
      <c r="U88" t="s">
        <v>339</v>
      </c>
      <c r="V88" s="25" t="s">
        <v>1080</v>
      </c>
      <c r="W88" s="25">
        <v>84.96</v>
      </c>
      <c r="X88" t="s">
        <v>1108</v>
      </c>
      <c r="Y88" t="s">
        <v>1110</v>
      </c>
      <c r="Z88" s="32" t="str">
        <f t="array" ref="Z88">IF(ISNUMBER(SEARCH("lipstick",G88)),"lipstick cases,","")&amp; IF(ISNUMBER(SEARCH("piggy",G88)),"Piggy coin bank ","")&amp;IF(ISNUMBER(SEARCH("Jewelry",G88)),"Jewelry box ","")&amp; IF(ISNUMBER(SEARCH("clutch",G88)),"Clutch purse,","")&amp; IF(ISNUMBER(SEARCH("wallet",G88)),"Wallet ","")&amp; IF(ISNUMBER(SEARCH("sling",G88)),"Sling bag ", "")&amp; IF(ISNUMBER(SEARCH("shoulder bag",G88)),"Shoulder bag,","")&amp; IF(ISNUMBER(SEARCH("Handbag",G88)),"Handbag","")</f>
        <v xml:space="preserve">lipstick cases,Jewelry box </v>
      </c>
      <c r="AA88" t="s">
        <v>1128</v>
      </c>
    </row>
    <row r="89" spans="1:27" ht="15.6" x14ac:dyDescent="0.3">
      <c r="A89" s="2" t="s">
        <v>447</v>
      </c>
      <c r="B89" s="5" t="s">
        <v>448</v>
      </c>
      <c r="C89" s="2" t="s">
        <v>352</v>
      </c>
      <c r="D89" s="2" t="s">
        <v>449</v>
      </c>
      <c r="E89" s="2" t="s">
        <v>62</v>
      </c>
      <c r="F89" s="2" t="s">
        <v>379</v>
      </c>
      <c r="G89" s="2" t="s">
        <v>380</v>
      </c>
      <c r="H89" s="20">
        <v>1</v>
      </c>
      <c r="I89" s="9" t="s">
        <v>21</v>
      </c>
      <c r="J89" s="13">
        <v>84.96</v>
      </c>
      <c r="K89" s="2" t="s">
        <v>21</v>
      </c>
      <c r="L89" s="2" t="s">
        <v>22</v>
      </c>
      <c r="M89" t="str">
        <f t="shared" si="5"/>
        <v>Thu 7 Oct 2021 11:23 am IST</v>
      </c>
      <c r="N89" t="s">
        <v>938</v>
      </c>
      <c r="O89" s="7" t="str">
        <f t="shared" si="7"/>
        <v>Thu 7 Oct 2021 11:23 am</v>
      </c>
      <c r="P89" s="7">
        <v>44476</v>
      </c>
      <c r="Q89" t="s">
        <v>861</v>
      </c>
      <c r="R89" s="11" t="s">
        <v>352</v>
      </c>
      <c r="S89" t="str">
        <f t="shared" si="6"/>
        <v>SAHARANPUR</v>
      </c>
      <c r="T89" t="s">
        <v>1024</v>
      </c>
      <c r="U89" t="s">
        <v>1053</v>
      </c>
      <c r="V89" s="25" t="s">
        <v>21</v>
      </c>
      <c r="W89" s="25">
        <v>84.96</v>
      </c>
      <c r="X89" t="s">
        <v>1108</v>
      </c>
      <c r="Y89" t="s">
        <v>1110</v>
      </c>
      <c r="Z89" s="32" t="str">
        <f t="array" ref="Z89">IF(ISNUMBER(SEARCH("lipstick",G89)),"lipstick cases,","")&amp; IF(ISNUMBER(SEARCH("piggy",G89)),"Piggy coin bank ","")&amp;IF(ISNUMBER(SEARCH("Jewelry",G89)),"Jewelry box ","")&amp; IF(ISNUMBER(SEARCH("clutch",G89)),"Clutch purse,","")&amp; IF(ISNUMBER(SEARCH("wallet",G89)),"Wallet ","")&amp; IF(ISNUMBER(SEARCH("sling",G89)),"Sling bag ", "")&amp; IF(ISNUMBER(SEARCH("shoulder bag",G89)),"Shoulder bag,","")&amp; IF(ISNUMBER(SEARCH("Handbag",G89)),"Handbag","")</f>
        <v xml:space="preserve">Jewelry box </v>
      </c>
      <c r="AA89" t="s">
        <v>1128</v>
      </c>
    </row>
    <row r="90" spans="1:27" ht="15.6" x14ac:dyDescent="0.3">
      <c r="A90" s="2" t="s">
        <v>450</v>
      </c>
      <c r="B90" s="5" t="s">
        <v>451</v>
      </c>
      <c r="C90" s="2" t="s">
        <v>452</v>
      </c>
      <c r="D90" s="2" t="s">
        <v>453</v>
      </c>
      <c r="E90" s="2" t="s">
        <v>276</v>
      </c>
      <c r="F90" s="2" t="s">
        <v>70</v>
      </c>
      <c r="G90" s="2" t="s">
        <v>71</v>
      </c>
      <c r="H90" s="20">
        <v>1</v>
      </c>
      <c r="I90" s="13">
        <v>399</v>
      </c>
      <c r="J90" s="13">
        <v>210.04</v>
      </c>
      <c r="K90" s="2" t="s">
        <v>21</v>
      </c>
      <c r="L90" s="2" t="s">
        <v>22</v>
      </c>
      <c r="M90" t="str">
        <f t="shared" si="5"/>
        <v>Mon 15 Nov 2021 12:29 pm IST</v>
      </c>
      <c r="N90" t="s">
        <v>940</v>
      </c>
      <c r="O90" s="7" t="str">
        <f t="shared" si="7"/>
        <v>Mon 15 Nov 2021 12:29 pm</v>
      </c>
      <c r="P90" s="7">
        <v>44515</v>
      </c>
      <c r="Q90" t="s">
        <v>862</v>
      </c>
      <c r="R90" s="11" t="s">
        <v>955</v>
      </c>
      <c r="S90" t="str">
        <f t="shared" si="6"/>
        <v>THAMARASSERY</v>
      </c>
      <c r="T90" t="s">
        <v>1025</v>
      </c>
      <c r="U90" t="s">
        <v>1064</v>
      </c>
      <c r="V90" s="25" t="s">
        <v>1074</v>
      </c>
      <c r="W90" s="25">
        <v>210.04</v>
      </c>
      <c r="X90" t="s">
        <v>1108</v>
      </c>
      <c r="Y90" t="s">
        <v>1110</v>
      </c>
      <c r="Z90" s="32" t="str">
        <f t="array" ref="Z90">IF(ISNUMBER(SEARCH("lipstick",G90)),"lipstick cases,","")&amp; IF(ISNUMBER(SEARCH("piggy",G90)),"Piggy coin bank ","")&amp;IF(ISNUMBER(SEARCH("Jewelry",G90)),"Jewelry box ","")&amp; IF(ISNUMBER(SEARCH("clutch",G90)),"Clutch purse,","")&amp; IF(ISNUMBER(SEARCH("wallet",G90)),"Wallet ","")&amp; IF(ISNUMBER(SEARCH("sling",G90)),"Sling bag ", "")&amp; IF(ISNUMBER(SEARCH("shoulder bag",G90)),"Shoulder bag,","")&amp; IF(ISNUMBER(SEARCH("Handbag",G90)),"Handbag","")</f>
        <v xml:space="preserve">Clutch purse,Wallet </v>
      </c>
      <c r="AA90" t="s">
        <v>1129</v>
      </c>
    </row>
    <row r="91" spans="1:27" ht="15.6" x14ac:dyDescent="0.3">
      <c r="A91" s="2" t="s">
        <v>454</v>
      </c>
      <c r="B91" s="5" t="s">
        <v>455</v>
      </c>
      <c r="C91" s="2" t="s">
        <v>456</v>
      </c>
      <c r="D91" s="2" t="s">
        <v>402</v>
      </c>
      <c r="E91" s="2" t="s">
        <v>102</v>
      </c>
      <c r="F91" s="2" t="s">
        <v>457</v>
      </c>
      <c r="G91" s="2" t="s">
        <v>458</v>
      </c>
      <c r="H91" s="20">
        <v>1</v>
      </c>
      <c r="I91" s="13">
        <v>449</v>
      </c>
      <c r="J91" s="12" t="s">
        <v>21</v>
      </c>
      <c r="K91" s="2" t="s">
        <v>21</v>
      </c>
      <c r="L91" s="2" t="s">
        <v>22</v>
      </c>
      <c r="M91" t="str">
        <f t="shared" si="5"/>
        <v>Mon 26 Jul 2021 8:15 am IST</v>
      </c>
      <c r="N91" t="s">
        <v>940</v>
      </c>
      <c r="O91" s="7" t="str">
        <f t="shared" si="7"/>
        <v>Mon 26 Jul 2021 8:15 am</v>
      </c>
      <c r="P91" s="7">
        <v>44403</v>
      </c>
      <c r="Q91" t="s">
        <v>863</v>
      </c>
      <c r="R91" s="11" t="s">
        <v>456</v>
      </c>
      <c r="S91" t="str">
        <f t="shared" si="6"/>
        <v>CHENNAI</v>
      </c>
      <c r="T91" t="s">
        <v>1021</v>
      </c>
      <c r="U91" t="s">
        <v>1058</v>
      </c>
      <c r="V91" s="25" t="s">
        <v>1072</v>
      </c>
      <c r="X91" t="s">
        <v>1108</v>
      </c>
      <c r="Y91" t="s">
        <v>1110</v>
      </c>
      <c r="Z91" s="32" t="str">
        <f t="array" ref="Z91">IF(ISNUMBER(SEARCH("lipstick",G91)),"lipstick cases,","")&amp; IF(ISNUMBER(SEARCH("piggy",G91)),"Piggy coin bank ","")&amp;IF(ISNUMBER(SEARCH("Jewelry",G91)),"Jewelry box ","")&amp; IF(ISNUMBER(SEARCH("clutch",G91)),"Clutch purse,","")&amp; IF(ISNUMBER(SEARCH("wallet",G91)),"Wallet ","")&amp; IF(ISNUMBER(SEARCH("sling",G91)),"Sling bag ", "")&amp; IF(ISNUMBER(SEARCH("shoulder bag",G91)),"Shoulder bag,","")&amp; IF(ISNUMBER(SEARCH("Handbag",G91)),"Handbag","")</f>
        <v xml:space="preserve">Piggy coin bank </v>
      </c>
      <c r="AA91" t="s">
        <v>1127</v>
      </c>
    </row>
    <row r="92" spans="1:27" ht="15.6" x14ac:dyDescent="0.3">
      <c r="A92" s="2" t="s">
        <v>459</v>
      </c>
      <c r="B92" s="5" t="s">
        <v>460</v>
      </c>
      <c r="C92" s="2" t="s">
        <v>461</v>
      </c>
      <c r="D92" s="2" t="s">
        <v>320</v>
      </c>
      <c r="E92" s="2" t="s">
        <v>247</v>
      </c>
      <c r="F92" s="2" t="s">
        <v>462</v>
      </c>
      <c r="G92" s="2" t="s">
        <v>463</v>
      </c>
      <c r="H92" s="20">
        <v>1</v>
      </c>
      <c r="I92" s="13">
        <v>1099</v>
      </c>
      <c r="J92" s="12" t="s">
        <v>21</v>
      </c>
      <c r="K92" s="2" t="s">
        <v>40</v>
      </c>
      <c r="L92" s="2" t="s">
        <v>22</v>
      </c>
      <c r="M92" t="str">
        <f t="shared" si="5"/>
        <v>Fri 20 Aug 2021 11:07 pm IST</v>
      </c>
      <c r="N92" t="s">
        <v>941</v>
      </c>
      <c r="O92" s="7" t="str">
        <f t="shared" si="7"/>
        <v>Fri 20 Aug 2021 11:07 pm</v>
      </c>
      <c r="P92" s="7">
        <v>44428</v>
      </c>
      <c r="Q92" t="s">
        <v>864</v>
      </c>
      <c r="R92" s="11" t="s">
        <v>956</v>
      </c>
      <c r="S92" t="str">
        <f t="shared" si="6"/>
        <v>Surat</v>
      </c>
      <c r="T92" t="s">
        <v>1012</v>
      </c>
      <c r="U92" t="s">
        <v>1062</v>
      </c>
      <c r="V92" s="25" t="s">
        <v>1073</v>
      </c>
      <c r="X92" t="s">
        <v>1109</v>
      </c>
      <c r="Y92" t="s">
        <v>1110</v>
      </c>
      <c r="Z92" s="32" t="str">
        <f t="array" ref="Z92">IF(ISNUMBER(SEARCH("lipstick",G92)),"lipstick cases,","")&amp; IF(ISNUMBER(SEARCH("piggy",G92)),"Piggy coin bank ","")&amp;IF(ISNUMBER(SEARCH("Jewelry",G92)),"Jewelry box ","")&amp; IF(ISNUMBER(SEARCH("clutch",G92)),"Clutch purse,","")&amp; IF(ISNUMBER(SEARCH("wallet",G92)),"Wallet ","")&amp; IF(ISNUMBER(SEARCH("sling",G92)),"Sling bag ", "")&amp; IF(ISNUMBER(SEARCH("shoulder bag",G92)),"Shoulder bag,","")&amp; IF(ISNUMBER(SEARCH("Handbag",G92)),"Handbag","")</f>
        <v>Shoulder bag,Handbag</v>
      </c>
      <c r="AA92" t="s">
        <v>1132</v>
      </c>
    </row>
    <row r="93" spans="1:27" ht="15.6" x14ac:dyDescent="0.3">
      <c r="A93" s="2" t="s">
        <v>464</v>
      </c>
      <c r="B93" s="5" t="s">
        <v>465</v>
      </c>
      <c r="C93" s="2" t="s">
        <v>466</v>
      </c>
      <c r="D93" s="2" t="s">
        <v>156</v>
      </c>
      <c r="E93" s="2" t="s">
        <v>91</v>
      </c>
      <c r="F93" s="2" t="s">
        <v>184</v>
      </c>
      <c r="G93" s="2" t="s">
        <v>185</v>
      </c>
      <c r="H93" s="20">
        <v>1</v>
      </c>
      <c r="I93" s="13">
        <v>399</v>
      </c>
      <c r="J93" s="13">
        <v>84.96</v>
      </c>
      <c r="K93" s="2" t="s">
        <v>21</v>
      </c>
      <c r="L93" s="2" t="s">
        <v>22</v>
      </c>
      <c r="M93" t="str">
        <f t="shared" si="5"/>
        <v>Thu 25 Nov 2021 10:09 pm IST</v>
      </c>
      <c r="N93" t="s">
        <v>938</v>
      </c>
      <c r="O93" s="7" t="str">
        <f t="shared" si="7"/>
        <v>Thu 25 Nov 2021 10:09 pm</v>
      </c>
      <c r="P93" s="7">
        <v>44525</v>
      </c>
      <c r="Q93" t="s">
        <v>865</v>
      </c>
      <c r="R93" s="11" t="s">
        <v>957</v>
      </c>
      <c r="S93" t="str">
        <f t="shared" si="6"/>
        <v>GURUGRAM</v>
      </c>
      <c r="T93" t="s">
        <v>996</v>
      </c>
      <c r="U93" t="s">
        <v>1056</v>
      </c>
      <c r="V93" s="25" t="s">
        <v>1074</v>
      </c>
      <c r="W93" s="25">
        <v>84.96</v>
      </c>
      <c r="X93" t="s">
        <v>1108</v>
      </c>
      <c r="Y93" t="s">
        <v>1110</v>
      </c>
      <c r="Z93" s="32" t="str">
        <f t="array" ref="Z93">IF(ISNUMBER(SEARCH("lipstick",G93)),"lipstick cases,","")&amp; IF(ISNUMBER(SEARCH("piggy",G93)),"Piggy coin bank ","")&amp;IF(ISNUMBER(SEARCH("Jewelry",G93)),"Jewelry box ","")&amp; IF(ISNUMBER(SEARCH("clutch",G93)),"Clutch purse,","")&amp; IF(ISNUMBER(SEARCH("wallet",G93)),"Wallet ","")&amp; IF(ISNUMBER(SEARCH("sling",G93)),"Sling bag ", "")&amp; IF(ISNUMBER(SEARCH("shoulder bag",G93)),"Shoulder bag,","")&amp; IF(ISNUMBER(SEARCH("Handbag",G93)),"Handbag","")</f>
        <v xml:space="preserve">Jewelry box </v>
      </c>
      <c r="AA93" t="s">
        <v>1129</v>
      </c>
    </row>
    <row r="94" spans="1:27" ht="15.6" x14ac:dyDescent="0.3">
      <c r="A94" s="2" t="s">
        <v>467</v>
      </c>
      <c r="B94" s="5" t="s">
        <v>468</v>
      </c>
      <c r="C94" s="2" t="s">
        <v>469</v>
      </c>
      <c r="D94" s="2" t="s">
        <v>266</v>
      </c>
      <c r="E94" s="2" t="s">
        <v>262</v>
      </c>
      <c r="F94" s="2" t="s">
        <v>63</v>
      </c>
      <c r="G94" s="2" t="s">
        <v>64</v>
      </c>
      <c r="H94" s="20">
        <v>1</v>
      </c>
      <c r="I94" s="13">
        <v>649</v>
      </c>
      <c r="J94" s="13">
        <v>60.18</v>
      </c>
      <c r="K94" s="2" t="s">
        <v>40</v>
      </c>
      <c r="L94" s="2" t="s">
        <v>22</v>
      </c>
      <c r="M94" t="str">
        <f t="shared" si="5"/>
        <v>Thu 7 Oct 2021 10:04 am IST</v>
      </c>
      <c r="N94" t="s">
        <v>938</v>
      </c>
      <c r="O94" s="7" t="str">
        <f t="shared" si="7"/>
        <v>Thu 7 Oct 2021 10:04 am</v>
      </c>
      <c r="P94" s="7">
        <v>44476</v>
      </c>
      <c r="Q94" t="s">
        <v>866</v>
      </c>
      <c r="R94" s="11" t="s">
        <v>469</v>
      </c>
      <c r="S94" t="str">
        <f t="shared" si="6"/>
        <v>GUWAHATI</v>
      </c>
      <c r="T94" t="s">
        <v>1007</v>
      </c>
      <c r="U94" t="s">
        <v>1063</v>
      </c>
      <c r="V94" s="25" t="s">
        <v>1075</v>
      </c>
      <c r="W94" s="25">
        <v>60.18</v>
      </c>
      <c r="X94" t="s">
        <v>1109</v>
      </c>
      <c r="Y94" t="s">
        <v>1110</v>
      </c>
      <c r="Z94" s="32" t="str">
        <f t="array" ref="Z94">IF(ISNUMBER(SEARCH("lipstick",G94)),"lipstick cases,","")&amp; IF(ISNUMBER(SEARCH("piggy",G94)),"Piggy coin bank ","")&amp;IF(ISNUMBER(SEARCH("Jewelry",G94)),"Jewelry box ","")&amp; IF(ISNUMBER(SEARCH("clutch",G94)),"Clutch purse,","")&amp; IF(ISNUMBER(SEARCH("wallet",G94)),"Wallet ","")&amp; IF(ISNUMBER(SEARCH("sling",G94)),"Sling bag ", "")&amp; IF(ISNUMBER(SEARCH("shoulder bag",G94)),"Shoulder bag,","")&amp; IF(ISNUMBER(SEARCH("Handbag",G94)),"Handbag","")</f>
        <v xml:space="preserve">Wallet </v>
      </c>
      <c r="AA94" t="s">
        <v>1128</v>
      </c>
    </row>
    <row r="95" spans="1:27" ht="15.6" x14ac:dyDescent="0.3">
      <c r="A95" s="2" t="s">
        <v>470</v>
      </c>
      <c r="B95" s="5" t="s">
        <v>471</v>
      </c>
      <c r="C95" s="2" t="s">
        <v>472</v>
      </c>
      <c r="D95" s="2" t="s">
        <v>44</v>
      </c>
      <c r="E95" s="2" t="s">
        <v>45</v>
      </c>
      <c r="F95" s="2" t="s">
        <v>137</v>
      </c>
      <c r="G95" s="2" t="s">
        <v>138</v>
      </c>
      <c r="H95" s="20">
        <v>1</v>
      </c>
      <c r="I95" s="13">
        <v>399</v>
      </c>
      <c r="J95" s="12" t="s">
        <v>21</v>
      </c>
      <c r="K95" s="2" t="s">
        <v>21</v>
      </c>
      <c r="L95" s="2" t="s">
        <v>22</v>
      </c>
      <c r="M95" t="str">
        <f t="shared" si="5"/>
        <v>Wed 18 Aug 2021 11:10 am IST</v>
      </c>
      <c r="N95" t="s">
        <v>937</v>
      </c>
      <c r="O95" s="7" t="str">
        <f t="shared" si="7"/>
        <v>Wed 18 Aug 2021 11:10 am</v>
      </c>
      <c r="P95" s="7">
        <v>44426</v>
      </c>
      <c r="Q95" t="s">
        <v>867</v>
      </c>
      <c r="R95" s="11" t="s">
        <v>958</v>
      </c>
      <c r="S95" t="str">
        <f t="shared" si="6"/>
        <v>MUMBAI</v>
      </c>
      <c r="T95" t="s">
        <v>980</v>
      </c>
      <c r="U95" t="s">
        <v>339</v>
      </c>
      <c r="V95" s="25" t="s">
        <v>1074</v>
      </c>
      <c r="X95" t="s">
        <v>1108</v>
      </c>
      <c r="Y95" t="s">
        <v>1110</v>
      </c>
      <c r="Z95" s="32" t="str">
        <f t="array" ref="Z95">IF(ISNUMBER(SEARCH("lipstick",G95)),"lipstick cases,","")&amp; IF(ISNUMBER(SEARCH("piggy",G95)),"Piggy coin bank ","")&amp;IF(ISNUMBER(SEARCH("Jewelry",G95)),"Jewelry box ","")&amp; IF(ISNUMBER(SEARCH("clutch",G95)),"Clutch purse,","")&amp; IF(ISNUMBER(SEARCH("wallet",G95)),"Wallet ","")&amp; IF(ISNUMBER(SEARCH("sling",G95)),"Sling bag ", "")&amp; IF(ISNUMBER(SEARCH("shoulder bag",G95)),"Shoulder bag,","")&amp; IF(ISNUMBER(SEARCH("Handbag",G95)),"Handbag","")</f>
        <v xml:space="preserve">Jewelry box </v>
      </c>
      <c r="AA95" t="s">
        <v>1132</v>
      </c>
    </row>
    <row r="96" spans="1:27" ht="15.6" x14ac:dyDescent="0.3">
      <c r="A96" s="2" t="s">
        <v>473</v>
      </c>
      <c r="B96" s="5" t="s">
        <v>474</v>
      </c>
      <c r="C96" s="2" t="s">
        <v>422</v>
      </c>
      <c r="D96" s="2" t="s">
        <v>136</v>
      </c>
      <c r="E96" s="2" t="s">
        <v>37</v>
      </c>
      <c r="F96" s="2" t="s">
        <v>426</v>
      </c>
      <c r="G96" s="2" t="s">
        <v>427</v>
      </c>
      <c r="H96" s="20">
        <v>1</v>
      </c>
      <c r="I96" s="13">
        <v>399</v>
      </c>
      <c r="J96" s="13">
        <v>84.96</v>
      </c>
      <c r="K96" s="2" t="s">
        <v>21</v>
      </c>
      <c r="L96" s="2" t="s">
        <v>22</v>
      </c>
      <c r="M96" t="str">
        <f t="shared" si="5"/>
        <v>Tue 16 Nov 2021 9:04 am IST</v>
      </c>
      <c r="N96" t="s">
        <v>936</v>
      </c>
      <c r="O96" s="7" t="str">
        <f t="shared" si="7"/>
        <v>Tue 16 Nov 2021 9:04 am</v>
      </c>
      <c r="P96" s="7">
        <v>44516</v>
      </c>
      <c r="Q96" t="s">
        <v>868</v>
      </c>
      <c r="R96" s="11" t="s">
        <v>422</v>
      </c>
      <c r="S96" t="str">
        <f t="shared" si="6"/>
        <v>HYDERABAD</v>
      </c>
      <c r="T96" t="s">
        <v>993</v>
      </c>
      <c r="U96" t="s">
        <v>1051</v>
      </c>
      <c r="V96" s="25" t="s">
        <v>1074</v>
      </c>
      <c r="W96" s="25">
        <v>84.96</v>
      </c>
      <c r="X96" t="s">
        <v>1108</v>
      </c>
      <c r="Y96" t="s">
        <v>1110</v>
      </c>
      <c r="Z96" s="32" t="str">
        <f t="array" ref="Z96">IF(ISNUMBER(SEARCH("lipstick",G96)),"lipstick cases,","")&amp; IF(ISNUMBER(SEARCH("piggy",G96)),"Piggy coin bank ","")&amp;IF(ISNUMBER(SEARCH("Jewelry",G96)),"Jewelry box ","")&amp; IF(ISNUMBER(SEARCH("clutch",G96)),"Clutch purse,","")&amp; IF(ISNUMBER(SEARCH("wallet",G96)),"Wallet ","")&amp; IF(ISNUMBER(SEARCH("sling",G96)),"Sling bag ", "")&amp; IF(ISNUMBER(SEARCH("shoulder bag",G96)),"Shoulder bag,","")&amp; IF(ISNUMBER(SEARCH("Handbag",G96)),"Handbag","")</f>
        <v xml:space="preserve">Clutch purse,Wallet </v>
      </c>
      <c r="AA96" t="s">
        <v>1129</v>
      </c>
    </row>
    <row r="97" spans="1:27" ht="15.6" x14ac:dyDescent="0.3">
      <c r="A97" s="2" t="s">
        <v>475</v>
      </c>
      <c r="B97" s="5" t="s">
        <v>476</v>
      </c>
      <c r="C97" s="2" t="s">
        <v>477</v>
      </c>
      <c r="D97" s="2" t="s">
        <v>246</v>
      </c>
      <c r="E97" s="2" t="s">
        <v>247</v>
      </c>
      <c r="F97" s="2" t="s">
        <v>17</v>
      </c>
      <c r="G97" s="2" t="s">
        <v>18</v>
      </c>
      <c r="H97" s="20">
        <v>1</v>
      </c>
      <c r="I97" s="13">
        <v>449</v>
      </c>
      <c r="J97" s="13">
        <v>84.96</v>
      </c>
      <c r="K97" s="2" t="s">
        <v>21</v>
      </c>
      <c r="L97" s="2" t="s">
        <v>22</v>
      </c>
      <c r="M97" t="str">
        <f t="shared" si="5"/>
        <v>Sat 13 Nov 2021 12:48 pm IST</v>
      </c>
      <c r="N97" t="s">
        <v>939</v>
      </c>
      <c r="O97" s="7" t="str">
        <f t="shared" si="7"/>
        <v>Sat 13 Nov 2021 12:48 pm</v>
      </c>
      <c r="P97" s="7">
        <v>44513</v>
      </c>
      <c r="Q97" t="s">
        <v>869</v>
      </c>
      <c r="R97" s="11" t="s">
        <v>477</v>
      </c>
      <c r="S97" t="str">
        <f t="shared" si="6"/>
        <v>AHMEDABAD</v>
      </c>
      <c r="T97" t="s">
        <v>1005</v>
      </c>
      <c r="U97" t="s">
        <v>1062</v>
      </c>
      <c r="V97" s="25" t="s">
        <v>1072</v>
      </c>
      <c r="W97" s="25">
        <v>84.96</v>
      </c>
      <c r="X97" t="s">
        <v>1108</v>
      </c>
      <c r="Y97" t="s">
        <v>1110</v>
      </c>
      <c r="Z97" s="32" t="str">
        <f t="array" ref="Z97">IF(ISNUMBER(SEARCH("lipstick",G97)),"lipstick cases,","")&amp; IF(ISNUMBER(SEARCH("piggy",G97)),"Piggy coin bank ","")&amp;IF(ISNUMBER(SEARCH("Jewelry",G97)),"Jewelry box ","")&amp; IF(ISNUMBER(SEARCH("clutch",G97)),"Clutch purse,","")&amp; IF(ISNUMBER(SEARCH("wallet",G97)),"Wallet ","")&amp; IF(ISNUMBER(SEARCH("sling",G97)),"Sling bag ", "")&amp; IF(ISNUMBER(SEARCH("shoulder bag",G97)),"Shoulder bag,","")&amp; IF(ISNUMBER(SEARCH("Handbag",G97)),"Handbag","")</f>
        <v xml:space="preserve">Piggy coin bank </v>
      </c>
      <c r="AA97" t="s">
        <v>1129</v>
      </c>
    </row>
    <row r="98" spans="1:27" ht="15.6" x14ac:dyDescent="0.3">
      <c r="A98" s="2" t="s">
        <v>478</v>
      </c>
      <c r="B98" s="5" t="s">
        <v>479</v>
      </c>
      <c r="C98" s="2" t="s">
        <v>480</v>
      </c>
      <c r="D98" s="2" t="s">
        <v>481</v>
      </c>
      <c r="E98" s="2" t="s">
        <v>62</v>
      </c>
      <c r="F98" s="2" t="s">
        <v>184</v>
      </c>
      <c r="G98" s="2" t="s">
        <v>185</v>
      </c>
      <c r="H98" s="20">
        <v>1</v>
      </c>
      <c r="I98" s="9" t="s">
        <v>21</v>
      </c>
      <c r="J98" s="13">
        <v>84.96</v>
      </c>
      <c r="K98" s="2" t="s">
        <v>21</v>
      </c>
      <c r="L98" s="2" t="s">
        <v>22</v>
      </c>
      <c r="M98" t="str">
        <f t="shared" ref="M98:M129" si="8">SUBSTITUTE(B98,",","")</f>
        <v>Thu 16 Sept 2021 6:59 am IST</v>
      </c>
      <c r="N98" t="s">
        <v>938</v>
      </c>
      <c r="O98" s="7" t="str">
        <f t="shared" si="7"/>
        <v>Thu 16 Sept 2021 6:59 am</v>
      </c>
      <c r="P98" s="7">
        <v>44455</v>
      </c>
      <c r="Q98" t="s">
        <v>870</v>
      </c>
      <c r="R98" s="11" t="s">
        <v>480</v>
      </c>
      <c r="S98" t="str">
        <f t="shared" ref="S98:S129" si="9">SUBSTITUTE(D98,",","")</f>
        <v>GAUTAM BUDDHA NAGAR</v>
      </c>
      <c r="T98" t="s">
        <v>1026</v>
      </c>
      <c r="U98" t="s">
        <v>1053</v>
      </c>
      <c r="V98" s="25" t="s">
        <v>21</v>
      </c>
      <c r="W98" s="25">
        <v>84.96</v>
      </c>
      <c r="X98" t="s">
        <v>1108</v>
      </c>
      <c r="Y98" t="s">
        <v>1110</v>
      </c>
      <c r="Z98" s="32" t="str">
        <f t="array" ref="Z98">IF(ISNUMBER(SEARCH("lipstick",G98)),"lipstick cases,","")&amp; IF(ISNUMBER(SEARCH("piggy",G98)),"Piggy coin bank ","")&amp;IF(ISNUMBER(SEARCH("Jewelry",G98)),"Jewelry box ","")&amp; IF(ISNUMBER(SEARCH("clutch",G98)),"Clutch purse,","")&amp; IF(ISNUMBER(SEARCH("wallet",G98)),"Wallet ","")&amp; IF(ISNUMBER(SEARCH("sling",G98)),"Sling bag ", "")&amp; IF(ISNUMBER(SEARCH("shoulder bag",G98)),"Shoulder bag,","")&amp; IF(ISNUMBER(SEARCH("Handbag",G98)),"Handbag","")</f>
        <v xml:space="preserve">Jewelry box </v>
      </c>
      <c r="AA98" t="s">
        <v>1130</v>
      </c>
    </row>
    <row r="99" spans="1:27" ht="15.6" x14ac:dyDescent="0.3">
      <c r="A99" s="2" t="s">
        <v>482</v>
      </c>
      <c r="B99" s="5" t="s">
        <v>483</v>
      </c>
      <c r="C99" s="2" t="s">
        <v>155</v>
      </c>
      <c r="D99" s="2" t="s">
        <v>156</v>
      </c>
      <c r="E99" s="2" t="s">
        <v>91</v>
      </c>
      <c r="F99" s="2" t="s">
        <v>28</v>
      </c>
      <c r="G99" s="2" t="s">
        <v>29</v>
      </c>
      <c r="H99" s="20">
        <v>3</v>
      </c>
      <c r="I99" s="13">
        <v>1347</v>
      </c>
      <c r="J99" s="13">
        <v>84.96</v>
      </c>
      <c r="K99" s="2" t="s">
        <v>21</v>
      </c>
      <c r="L99" s="2" t="s">
        <v>22</v>
      </c>
      <c r="M99" t="str">
        <f t="shared" si="8"/>
        <v>Thu 18 Nov 2021 9:55 pm IST</v>
      </c>
      <c r="N99" t="s">
        <v>938</v>
      </c>
      <c r="O99" s="7" t="str">
        <f t="shared" si="7"/>
        <v>Thu 18 Nov 2021 9:55 pm</v>
      </c>
      <c r="P99" s="7">
        <v>44518</v>
      </c>
      <c r="Q99" t="s">
        <v>871</v>
      </c>
      <c r="R99" s="11" t="s">
        <v>155</v>
      </c>
      <c r="S99" t="str">
        <f t="shared" si="9"/>
        <v>GURUGRAM</v>
      </c>
      <c r="T99" t="s">
        <v>996</v>
      </c>
      <c r="U99" t="s">
        <v>1056</v>
      </c>
      <c r="V99" s="25" t="s">
        <v>1081</v>
      </c>
      <c r="W99" s="25">
        <v>84.96</v>
      </c>
      <c r="X99" t="s">
        <v>1108</v>
      </c>
      <c r="Y99" t="s">
        <v>1110</v>
      </c>
      <c r="Z99" s="32" t="str">
        <f t="array" ref="Z99">IF(ISNUMBER(SEARCH("lipstick",G99)),"lipstick cases,","")&amp; IF(ISNUMBER(SEARCH("piggy",G99)),"Piggy coin bank ","")&amp;IF(ISNUMBER(SEARCH("Jewelry",G99)),"Jewelry box ","")&amp; IF(ISNUMBER(SEARCH("clutch",G99)),"Clutch purse,","")&amp; IF(ISNUMBER(SEARCH("wallet",G99)),"Wallet ","")&amp; IF(ISNUMBER(SEARCH("sling",G99)),"Sling bag ", "")&amp; IF(ISNUMBER(SEARCH("shoulder bag",G99)),"Shoulder bag,","")&amp; IF(ISNUMBER(SEARCH("Handbag",G99)),"Handbag","")</f>
        <v xml:space="preserve">lipstick cases,Jewelry box </v>
      </c>
      <c r="AA99" t="s">
        <v>1129</v>
      </c>
    </row>
    <row r="100" spans="1:27" ht="15.6" x14ac:dyDescent="0.3">
      <c r="A100" s="2" t="s">
        <v>486</v>
      </c>
      <c r="B100" s="5" t="s">
        <v>487</v>
      </c>
      <c r="C100" s="2" t="s">
        <v>488</v>
      </c>
      <c r="D100" s="2" t="s">
        <v>182</v>
      </c>
      <c r="E100" s="2" t="s">
        <v>183</v>
      </c>
      <c r="F100" s="2" t="s">
        <v>418</v>
      </c>
      <c r="G100" s="2" t="s">
        <v>419</v>
      </c>
      <c r="H100" s="20">
        <v>1</v>
      </c>
      <c r="I100" s="13">
        <v>549</v>
      </c>
      <c r="J100" s="13">
        <v>84.96</v>
      </c>
      <c r="K100" s="2" t="s">
        <v>21</v>
      </c>
      <c r="L100" s="2" t="s">
        <v>22</v>
      </c>
      <c r="M100" t="str">
        <f t="shared" si="8"/>
        <v>Sat 9 Oct 2021 8:46 pm IST</v>
      </c>
      <c r="N100" t="s">
        <v>939</v>
      </c>
      <c r="O100" s="7" t="str">
        <f t="shared" si="7"/>
        <v>Sat 9 Oct 2021 8:46 pm</v>
      </c>
      <c r="P100" s="7">
        <v>44478</v>
      </c>
      <c r="Q100" t="s">
        <v>872</v>
      </c>
      <c r="R100" s="11" t="s">
        <v>488</v>
      </c>
      <c r="S100" t="str">
        <f t="shared" si="9"/>
        <v>NEW DELHI</v>
      </c>
      <c r="T100" t="s">
        <v>999</v>
      </c>
      <c r="U100" t="s">
        <v>1059</v>
      </c>
      <c r="V100" s="25" t="s">
        <v>1077</v>
      </c>
      <c r="W100" s="25">
        <v>84.96</v>
      </c>
      <c r="X100" t="s">
        <v>1108</v>
      </c>
      <c r="Y100" t="s">
        <v>1110</v>
      </c>
      <c r="Z100" s="32" t="str">
        <f t="array" ref="Z100">IF(ISNUMBER(SEARCH("lipstick",G100)),"lipstick cases,","")&amp; IF(ISNUMBER(SEARCH("piggy",G100)),"Piggy coin bank ","")&amp;IF(ISNUMBER(SEARCH("Jewelry",G100)),"Jewelry box ","")&amp; IF(ISNUMBER(SEARCH("clutch",G100)),"Clutch purse,","")&amp; IF(ISNUMBER(SEARCH("wallet",G100)),"Wallet ","")&amp; IF(ISNUMBER(SEARCH("sling",G100)),"Sling bag ", "")&amp; IF(ISNUMBER(SEARCH("shoulder bag",G100)),"Shoulder bag,","")&amp; IF(ISNUMBER(SEARCH("Handbag",G100)),"Handbag","")</f>
        <v xml:space="preserve">Piggy coin bank </v>
      </c>
      <c r="AA100" t="s">
        <v>1128</v>
      </c>
    </row>
    <row r="101" spans="1:27" ht="15.6" x14ac:dyDescent="0.3">
      <c r="A101" s="2" t="s">
        <v>489</v>
      </c>
      <c r="B101" s="5" t="s">
        <v>490</v>
      </c>
      <c r="C101" s="2" t="s">
        <v>491</v>
      </c>
      <c r="D101" s="2" t="s">
        <v>76</v>
      </c>
      <c r="E101" s="2" t="s">
        <v>77</v>
      </c>
      <c r="F101" s="2" t="s">
        <v>234</v>
      </c>
      <c r="G101" s="2" t="s">
        <v>235</v>
      </c>
      <c r="H101" s="20">
        <v>1</v>
      </c>
      <c r="I101" s="13">
        <v>399</v>
      </c>
      <c r="J101" s="12" t="s">
        <v>21</v>
      </c>
      <c r="K101" s="2" t="s">
        <v>40</v>
      </c>
      <c r="L101" s="2" t="s">
        <v>22</v>
      </c>
      <c r="M101" t="str">
        <f t="shared" si="8"/>
        <v>Sun 8 Aug 2021 7:08 am IST</v>
      </c>
      <c r="N101" t="s">
        <v>935</v>
      </c>
      <c r="O101" s="7" t="str">
        <f t="shared" si="7"/>
        <v>Sun 8 Aug 2021 7:08 am</v>
      </c>
      <c r="P101" s="7">
        <v>44416</v>
      </c>
      <c r="Q101" t="s">
        <v>873</v>
      </c>
      <c r="R101" s="11" t="s">
        <v>959</v>
      </c>
      <c r="S101" t="str">
        <f t="shared" si="9"/>
        <v>BENGALURU</v>
      </c>
      <c r="T101" t="s">
        <v>984</v>
      </c>
      <c r="U101" t="s">
        <v>1054</v>
      </c>
      <c r="V101" s="25" t="s">
        <v>1074</v>
      </c>
      <c r="X101" t="s">
        <v>1109</v>
      </c>
      <c r="Y101" t="s">
        <v>1110</v>
      </c>
      <c r="Z101" s="32" t="str">
        <f t="array" ref="Z101">IF(ISNUMBER(SEARCH("lipstick",G101)),"lipstick cases,","")&amp; IF(ISNUMBER(SEARCH("piggy",G101)),"Piggy coin bank ","")&amp;IF(ISNUMBER(SEARCH("Jewelry",G101)),"Jewelry box ","")&amp; IF(ISNUMBER(SEARCH("clutch",G101)),"Clutch purse,","")&amp; IF(ISNUMBER(SEARCH("wallet",G101)),"Wallet ","")&amp; IF(ISNUMBER(SEARCH("sling",G101)),"Sling bag ", "")&amp; IF(ISNUMBER(SEARCH("shoulder bag",G101)),"Shoulder bag,","")&amp; IF(ISNUMBER(SEARCH("Handbag",G101)),"Handbag","")</f>
        <v xml:space="preserve">Jewelry box </v>
      </c>
      <c r="AA101" t="s">
        <v>1132</v>
      </c>
    </row>
    <row r="102" spans="1:27" ht="15.6" x14ac:dyDescent="0.3">
      <c r="A102" s="2" t="s">
        <v>492</v>
      </c>
      <c r="B102" s="5" t="s">
        <v>493</v>
      </c>
      <c r="C102" s="2" t="s">
        <v>494</v>
      </c>
      <c r="D102" s="2" t="s">
        <v>495</v>
      </c>
      <c r="E102" s="2" t="s">
        <v>54</v>
      </c>
      <c r="F102" s="2" t="s">
        <v>496</v>
      </c>
      <c r="G102" s="2" t="s">
        <v>497</v>
      </c>
      <c r="H102" s="20">
        <v>1</v>
      </c>
      <c r="I102" s="13">
        <v>449</v>
      </c>
      <c r="J102" s="13">
        <v>60.18</v>
      </c>
      <c r="K102" s="2" t="s">
        <v>21</v>
      </c>
      <c r="L102" s="2" t="s">
        <v>22</v>
      </c>
      <c r="M102" t="str">
        <f t="shared" si="8"/>
        <v>Fri 25 Feb 2022 12:04 am IST</v>
      </c>
      <c r="N102" t="s">
        <v>941</v>
      </c>
      <c r="O102" s="7" t="str">
        <f t="shared" si="7"/>
        <v>Fri 25 Feb 2022 12:04 am</v>
      </c>
      <c r="P102" s="7">
        <v>44617</v>
      </c>
      <c r="Q102" t="s">
        <v>874</v>
      </c>
      <c r="R102" s="11" t="s">
        <v>960</v>
      </c>
      <c r="S102" t="str">
        <f t="shared" si="9"/>
        <v>KATWA</v>
      </c>
      <c r="T102" t="s">
        <v>1027</v>
      </c>
      <c r="U102" t="s">
        <v>1052</v>
      </c>
      <c r="V102" s="25" t="s">
        <v>1072</v>
      </c>
      <c r="W102" s="25">
        <v>60.18</v>
      </c>
      <c r="X102" t="s">
        <v>1108</v>
      </c>
      <c r="Y102" t="s">
        <v>1110</v>
      </c>
      <c r="Z102" s="32" t="str">
        <f t="array" ref="Z102">IF(ISNUMBER(SEARCH("lipstick",G102)),"lipstick cases,","")&amp; IF(ISNUMBER(SEARCH("piggy",G102)),"Piggy coin bank ","")&amp;IF(ISNUMBER(SEARCH("Jewelry",G102)),"Jewelry box ","")&amp; IF(ISNUMBER(SEARCH("clutch",G102)),"Clutch purse,","")&amp; IF(ISNUMBER(SEARCH("wallet",G102)),"Wallet ","")&amp; IF(ISNUMBER(SEARCH("sling",G102)),"Sling bag ", "")&amp; IF(ISNUMBER(SEARCH("shoulder bag",G102)),"Shoulder bag,","")&amp; IF(ISNUMBER(SEARCH("Handbag",G102)),"Handbag","")</f>
        <v xml:space="preserve">Piggy coin bank </v>
      </c>
      <c r="AA102" t="s">
        <v>1133</v>
      </c>
    </row>
    <row r="103" spans="1:27" ht="15.6" x14ac:dyDescent="0.3">
      <c r="A103" s="2" t="s">
        <v>498</v>
      </c>
      <c r="B103" s="5" t="s">
        <v>499</v>
      </c>
      <c r="C103" s="2" t="s">
        <v>500</v>
      </c>
      <c r="D103" s="2" t="s">
        <v>182</v>
      </c>
      <c r="E103" s="2" t="s">
        <v>183</v>
      </c>
      <c r="F103" s="2" t="s">
        <v>391</v>
      </c>
      <c r="G103" s="2" t="s">
        <v>392</v>
      </c>
      <c r="H103" s="20">
        <v>1</v>
      </c>
      <c r="I103" s="13">
        <v>549</v>
      </c>
      <c r="J103" s="13">
        <v>84.96</v>
      </c>
      <c r="K103" s="2" t="s">
        <v>40</v>
      </c>
      <c r="L103" s="2" t="s">
        <v>22</v>
      </c>
      <c r="M103" t="str">
        <f t="shared" si="8"/>
        <v>Thu 27 Jan 2022 5:31 pm IST</v>
      </c>
      <c r="N103" t="s">
        <v>938</v>
      </c>
      <c r="O103" s="7" t="str">
        <f t="shared" si="7"/>
        <v>Thu 27 Jan 2022 5:31 pm</v>
      </c>
      <c r="P103" s="7">
        <v>44588</v>
      </c>
      <c r="Q103" t="s">
        <v>875</v>
      </c>
      <c r="R103" s="11" t="s">
        <v>500</v>
      </c>
      <c r="S103" t="str">
        <f t="shared" si="9"/>
        <v>NEW DELHI</v>
      </c>
      <c r="T103" t="s">
        <v>999</v>
      </c>
      <c r="U103" t="s">
        <v>1059</v>
      </c>
      <c r="V103" s="25" t="s">
        <v>1077</v>
      </c>
      <c r="W103" s="25">
        <v>84.96</v>
      </c>
      <c r="X103" t="s">
        <v>1109</v>
      </c>
      <c r="Y103" t="s">
        <v>1110</v>
      </c>
      <c r="Z103" s="32" t="str">
        <f t="array" ref="Z103">IF(ISNUMBER(SEARCH("lipstick",G103)),"lipstick cases,","")&amp; IF(ISNUMBER(SEARCH("piggy",G103)),"Piggy coin bank ","")&amp;IF(ISNUMBER(SEARCH("Jewelry",G103)),"Jewelry box ","")&amp; IF(ISNUMBER(SEARCH("clutch",G103)),"Clutch purse,","")&amp; IF(ISNUMBER(SEARCH("wallet",G103)),"Wallet ","")&amp; IF(ISNUMBER(SEARCH("sling",G103)),"Sling bag ", "")&amp; IF(ISNUMBER(SEARCH("shoulder bag",G103)),"Shoulder bag,","")&amp; IF(ISNUMBER(SEARCH("Handbag",G103)),"Handbag","")</f>
        <v xml:space="preserve">Piggy coin bank </v>
      </c>
      <c r="AA103" t="s">
        <v>1134</v>
      </c>
    </row>
    <row r="104" spans="1:27" ht="15.6" x14ac:dyDescent="0.3">
      <c r="A104" s="2" t="s">
        <v>501</v>
      </c>
      <c r="B104" s="5" t="s">
        <v>502</v>
      </c>
      <c r="C104" s="2" t="s">
        <v>503</v>
      </c>
      <c r="D104" s="2" t="s">
        <v>44</v>
      </c>
      <c r="E104" s="2" t="s">
        <v>45</v>
      </c>
      <c r="F104" s="2" t="s">
        <v>379</v>
      </c>
      <c r="G104" s="2" t="s">
        <v>504</v>
      </c>
      <c r="H104" s="20">
        <v>1</v>
      </c>
      <c r="I104" s="13">
        <v>499</v>
      </c>
      <c r="J104" s="13">
        <v>84.96</v>
      </c>
      <c r="K104" s="2" t="s">
        <v>21</v>
      </c>
      <c r="L104" s="2" t="s">
        <v>22</v>
      </c>
      <c r="M104" t="str">
        <f t="shared" si="8"/>
        <v>Sun 30 Jan 2022 10:25 am IST</v>
      </c>
      <c r="N104" t="s">
        <v>935</v>
      </c>
      <c r="O104" s="7" t="str">
        <f t="shared" si="7"/>
        <v>Sun 30 Jan 2022 10:25 am</v>
      </c>
      <c r="P104" s="7">
        <v>44591</v>
      </c>
      <c r="Q104" t="s">
        <v>876</v>
      </c>
      <c r="R104" s="11" t="s">
        <v>961</v>
      </c>
      <c r="S104" t="str">
        <f t="shared" si="9"/>
        <v>MUMBAI</v>
      </c>
      <c r="T104" t="s">
        <v>980</v>
      </c>
      <c r="U104" t="s">
        <v>339</v>
      </c>
      <c r="V104" s="25" t="s">
        <v>1082</v>
      </c>
      <c r="W104" s="25">
        <v>84.96</v>
      </c>
      <c r="X104" t="s">
        <v>1108</v>
      </c>
      <c r="Y104" t="s">
        <v>1110</v>
      </c>
      <c r="Z104" s="32" t="str">
        <f t="array" ref="Z104">IF(ISNUMBER(SEARCH("lipstick",G104)),"lipstick cases,","")&amp; IF(ISNUMBER(SEARCH("piggy",G104)),"Piggy coin bank ","")&amp;IF(ISNUMBER(SEARCH("Jewelry",G104)),"Jewelry box ","")&amp; IF(ISNUMBER(SEARCH("clutch",G104)),"Clutch purse,","")&amp; IF(ISNUMBER(SEARCH("wallet",G104)),"Wallet ","")&amp; IF(ISNUMBER(SEARCH("sling",G104)),"Sling bag ", "")&amp; IF(ISNUMBER(SEARCH("shoulder bag",G104)),"Shoulder bag,","")&amp; IF(ISNUMBER(SEARCH("Handbag",G104)),"Handbag","")</f>
        <v xml:space="preserve">Jewelry box </v>
      </c>
      <c r="AA104" t="s">
        <v>1134</v>
      </c>
    </row>
    <row r="105" spans="1:27" ht="15.6" x14ac:dyDescent="0.3">
      <c r="A105" s="2" t="s">
        <v>506</v>
      </c>
      <c r="B105" s="5" t="s">
        <v>507</v>
      </c>
      <c r="C105" s="2" t="s">
        <v>508</v>
      </c>
      <c r="D105" s="2" t="s">
        <v>509</v>
      </c>
      <c r="E105" s="2" t="s">
        <v>397</v>
      </c>
      <c r="F105" s="2" t="s">
        <v>28</v>
      </c>
      <c r="G105" s="2" t="s">
        <v>29</v>
      </c>
      <c r="H105" s="20">
        <v>1</v>
      </c>
      <c r="I105" s="13">
        <v>449</v>
      </c>
      <c r="J105" s="13">
        <v>84.96</v>
      </c>
      <c r="K105" s="2" t="s">
        <v>40</v>
      </c>
      <c r="L105" s="2" t="s">
        <v>22</v>
      </c>
      <c r="M105" t="str">
        <f t="shared" si="8"/>
        <v>Tue 25 Jan 2022 11:42 am IST</v>
      </c>
      <c r="N105" t="s">
        <v>936</v>
      </c>
      <c r="O105" s="7" t="str">
        <f t="shared" si="7"/>
        <v>Tue 25 Jan 2022 11:42 am</v>
      </c>
      <c r="P105" s="7">
        <v>44586</v>
      </c>
      <c r="Q105" t="s">
        <v>877</v>
      </c>
      <c r="R105" s="11" t="s">
        <v>508</v>
      </c>
      <c r="S105" t="str">
        <f t="shared" si="9"/>
        <v>JODHPUR</v>
      </c>
      <c r="T105" t="s">
        <v>1028</v>
      </c>
      <c r="U105" t="s">
        <v>1065</v>
      </c>
      <c r="V105" s="25" t="s">
        <v>1072</v>
      </c>
      <c r="W105" s="25">
        <v>84.96</v>
      </c>
      <c r="X105" t="s">
        <v>1109</v>
      </c>
      <c r="Y105" t="s">
        <v>1110</v>
      </c>
      <c r="Z105" s="32" t="str">
        <f t="array" ref="Z105">IF(ISNUMBER(SEARCH("lipstick",G105)),"lipstick cases,","")&amp; IF(ISNUMBER(SEARCH("piggy",G105)),"Piggy coin bank ","")&amp;IF(ISNUMBER(SEARCH("Jewelry",G105)),"Jewelry box ","")&amp; IF(ISNUMBER(SEARCH("clutch",G105)),"Clutch purse,","")&amp; IF(ISNUMBER(SEARCH("wallet",G105)),"Wallet ","")&amp; IF(ISNUMBER(SEARCH("sling",G105)),"Sling bag ", "")&amp; IF(ISNUMBER(SEARCH("shoulder bag",G105)),"Shoulder bag,","")&amp; IF(ISNUMBER(SEARCH("Handbag",G105)),"Handbag","")</f>
        <v xml:space="preserve">lipstick cases,Jewelry box </v>
      </c>
      <c r="AA105" t="s">
        <v>1134</v>
      </c>
    </row>
    <row r="106" spans="1:27" ht="15.6" x14ac:dyDescent="0.3">
      <c r="A106" s="2" t="s">
        <v>510</v>
      </c>
      <c r="B106" s="5" t="s">
        <v>511</v>
      </c>
      <c r="C106" s="2" t="s">
        <v>512</v>
      </c>
      <c r="D106" s="2" t="s">
        <v>513</v>
      </c>
      <c r="E106" s="2" t="s">
        <v>54</v>
      </c>
      <c r="F106" s="2" t="s">
        <v>63</v>
      </c>
      <c r="G106" s="2" t="s">
        <v>64</v>
      </c>
      <c r="H106" s="20">
        <v>1</v>
      </c>
      <c r="I106" s="13">
        <v>649</v>
      </c>
      <c r="J106" s="13">
        <v>60.18</v>
      </c>
      <c r="K106" s="2" t="s">
        <v>21</v>
      </c>
      <c r="L106" s="2" t="s">
        <v>22</v>
      </c>
      <c r="M106" t="str">
        <f t="shared" si="8"/>
        <v>Mon 3 Jan 2022 9:43 pm IST</v>
      </c>
      <c r="N106" t="s">
        <v>940</v>
      </c>
      <c r="O106" s="7" t="str">
        <f t="shared" si="7"/>
        <v>Mon 3 Jan 2022 9:43 pm</v>
      </c>
      <c r="P106" s="7">
        <v>44564</v>
      </c>
      <c r="Q106" t="s">
        <v>878</v>
      </c>
      <c r="R106" s="11" t="s">
        <v>512</v>
      </c>
      <c r="S106" t="str">
        <f t="shared" si="9"/>
        <v>MALDA</v>
      </c>
      <c r="T106" t="s">
        <v>1029</v>
      </c>
      <c r="U106" t="s">
        <v>1052</v>
      </c>
      <c r="V106" s="25" t="s">
        <v>1075</v>
      </c>
      <c r="W106" s="25">
        <v>60.18</v>
      </c>
      <c r="X106" t="s">
        <v>1108</v>
      </c>
      <c r="Y106" t="s">
        <v>1110</v>
      </c>
      <c r="Z106" s="32" t="str">
        <f t="array" ref="Z106">IF(ISNUMBER(SEARCH("lipstick",G106)),"lipstick cases,","")&amp; IF(ISNUMBER(SEARCH("piggy",G106)),"Piggy coin bank ","")&amp;IF(ISNUMBER(SEARCH("Jewelry",G106)),"Jewelry box ","")&amp; IF(ISNUMBER(SEARCH("clutch",G106)),"Clutch purse,","")&amp; IF(ISNUMBER(SEARCH("wallet",G106)),"Wallet ","")&amp; IF(ISNUMBER(SEARCH("sling",G106)),"Sling bag ", "")&amp; IF(ISNUMBER(SEARCH("shoulder bag",G106)),"Shoulder bag,","")&amp; IF(ISNUMBER(SEARCH("Handbag",G106)),"Handbag","")</f>
        <v xml:space="preserve">Wallet </v>
      </c>
      <c r="AA106" t="s">
        <v>1134</v>
      </c>
    </row>
    <row r="107" spans="1:27" ht="15.6" x14ac:dyDescent="0.3">
      <c r="A107" s="2" t="s">
        <v>514</v>
      </c>
      <c r="B107" s="5" t="s">
        <v>515</v>
      </c>
      <c r="C107" s="2" t="s">
        <v>516</v>
      </c>
      <c r="D107" s="2" t="s">
        <v>517</v>
      </c>
      <c r="E107" s="2" t="s">
        <v>62</v>
      </c>
      <c r="F107" s="2" t="s">
        <v>518</v>
      </c>
      <c r="G107" s="2" t="s">
        <v>519</v>
      </c>
      <c r="H107" s="20">
        <v>1</v>
      </c>
      <c r="I107" s="13">
        <v>399</v>
      </c>
      <c r="J107" s="13">
        <v>84.96</v>
      </c>
      <c r="K107" s="2" t="s">
        <v>21</v>
      </c>
      <c r="L107" s="2" t="s">
        <v>22</v>
      </c>
      <c r="M107" t="str">
        <f t="shared" si="8"/>
        <v>Mon 29 Nov 2021 6:09 pm IST</v>
      </c>
      <c r="N107" t="s">
        <v>940</v>
      </c>
      <c r="O107" s="7" t="str">
        <f t="shared" si="7"/>
        <v>Mon 29 Nov 2021 6:09 pm</v>
      </c>
      <c r="P107" s="7">
        <v>44529</v>
      </c>
      <c r="Q107" t="s">
        <v>879</v>
      </c>
      <c r="R107" s="11" t="s">
        <v>516</v>
      </c>
      <c r="S107" t="str">
        <f t="shared" si="9"/>
        <v>NOIDA</v>
      </c>
      <c r="T107" t="s">
        <v>1030</v>
      </c>
      <c r="U107" t="s">
        <v>1053</v>
      </c>
      <c r="V107" s="25" t="s">
        <v>1074</v>
      </c>
      <c r="W107" s="25">
        <v>84.96</v>
      </c>
      <c r="X107" t="s">
        <v>1108</v>
      </c>
      <c r="Y107" t="s">
        <v>1110</v>
      </c>
      <c r="Z107" s="32" t="str">
        <f t="array" ref="Z107">IF(ISNUMBER(SEARCH("lipstick",G107)),"lipstick cases,","")&amp; IF(ISNUMBER(SEARCH("piggy",G107)),"Piggy coin bank ","")&amp;IF(ISNUMBER(SEARCH("Jewelry",G107)),"Jewelry box ","")&amp; IF(ISNUMBER(SEARCH("clutch",G107)),"Clutch purse,","")&amp; IF(ISNUMBER(SEARCH("wallet",G107)),"Wallet ","")&amp; IF(ISNUMBER(SEARCH("sling",G107)),"Sling bag ", "")&amp; IF(ISNUMBER(SEARCH("shoulder bag",G107)),"Shoulder bag,","")&amp; IF(ISNUMBER(SEARCH("Handbag",G107)),"Handbag","")</f>
        <v xml:space="preserve">Clutch purse,Wallet </v>
      </c>
      <c r="AA107" t="s">
        <v>1129</v>
      </c>
    </row>
    <row r="108" spans="1:27" ht="15.6" x14ac:dyDescent="0.3">
      <c r="A108" s="2" t="s">
        <v>520</v>
      </c>
      <c r="B108" s="5" t="s">
        <v>521</v>
      </c>
      <c r="C108" s="2" t="s">
        <v>522</v>
      </c>
      <c r="D108" s="2" t="s">
        <v>76</v>
      </c>
      <c r="E108" s="2" t="s">
        <v>77</v>
      </c>
      <c r="F108" s="2" t="s">
        <v>131</v>
      </c>
      <c r="G108" s="2" t="s">
        <v>132</v>
      </c>
      <c r="H108" s="20">
        <v>1</v>
      </c>
      <c r="I108" s="9" t="s">
        <v>21</v>
      </c>
      <c r="J108" s="13">
        <v>84.96</v>
      </c>
      <c r="K108" s="2" t="s">
        <v>21</v>
      </c>
      <c r="L108" s="2" t="s">
        <v>22</v>
      </c>
      <c r="M108" t="str">
        <f t="shared" si="8"/>
        <v>Thu 23 Dec 2021 12:02 pm IST</v>
      </c>
      <c r="N108" t="s">
        <v>938</v>
      </c>
      <c r="O108" s="7" t="str">
        <f t="shared" si="7"/>
        <v>Thu 23 Dec 2021 12:02 pm</v>
      </c>
      <c r="P108" s="7">
        <v>44553</v>
      </c>
      <c r="Q108" t="s">
        <v>823</v>
      </c>
      <c r="R108" s="11" t="s">
        <v>522</v>
      </c>
      <c r="S108" t="str">
        <f t="shared" si="9"/>
        <v>BENGALURU</v>
      </c>
      <c r="T108" t="s">
        <v>984</v>
      </c>
      <c r="U108" t="s">
        <v>1054</v>
      </c>
      <c r="V108" s="25" t="s">
        <v>21</v>
      </c>
      <c r="W108" s="25">
        <v>84.96</v>
      </c>
      <c r="X108" t="s">
        <v>1108</v>
      </c>
      <c r="Y108" t="s">
        <v>1110</v>
      </c>
      <c r="Z108" s="32" t="str">
        <f t="array" ref="Z108">IF(ISNUMBER(SEARCH("lipstick",G108)),"lipstick cases,","")&amp; IF(ISNUMBER(SEARCH("piggy",G108)),"Piggy coin bank ","")&amp;IF(ISNUMBER(SEARCH("Jewelry",G108)),"Jewelry box ","")&amp; IF(ISNUMBER(SEARCH("clutch",G108)),"Clutch purse,","")&amp; IF(ISNUMBER(SEARCH("wallet",G108)),"Wallet ","")&amp; IF(ISNUMBER(SEARCH("sling",G108)),"Sling bag ", "")&amp; IF(ISNUMBER(SEARCH("shoulder bag",G108)),"Shoulder bag,","")&amp; IF(ISNUMBER(SEARCH("Handbag",G108)),"Handbag","")</f>
        <v xml:space="preserve">Piggy coin bank </v>
      </c>
      <c r="AA108" t="s">
        <v>1135</v>
      </c>
    </row>
    <row r="109" spans="1:27" ht="15.6" x14ac:dyDescent="0.3">
      <c r="A109" s="2" t="s">
        <v>523</v>
      </c>
      <c r="B109" s="5" t="s">
        <v>524</v>
      </c>
      <c r="C109" s="2" t="s">
        <v>525</v>
      </c>
      <c r="D109" s="2" t="s">
        <v>16</v>
      </c>
      <c r="E109" s="2" t="s">
        <v>15</v>
      </c>
      <c r="F109" s="2" t="s">
        <v>234</v>
      </c>
      <c r="G109" s="2" t="s">
        <v>526</v>
      </c>
      <c r="H109" s="20">
        <v>1</v>
      </c>
      <c r="I109" s="13">
        <v>475</v>
      </c>
      <c r="J109" s="13">
        <v>84.96</v>
      </c>
      <c r="K109" s="2" t="s">
        <v>40</v>
      </c>
      <c r="L109" s="2" t="s">
        <v>22</v>
      </c>
      <c r="M109" t="str">
        <f t="shared" si="8"/>
        <v>Thu 10 Feb 2022 11:22 pm IST</v>
      </c>
      <c r="N109" t="s">
        <v>938</v>
      </c>
      <c r="O109" s="7" t="str">
        <f t="shared" si="7"/>
        <v>Thu 10 Feb 2022 11:22 pm</v>
      </c>
      <c r="P109" s="7">
        <v>44602</v>
      </c>
      <c r="Q109" t="s">
        <v>880</v>
      </c>
      <c r="R109" s="11" t="s">
        <v>962</v>
      </c>
      <c r="S109" t="str">
        <f t="shared" si="9"/>
        <v>CHANDIGARH</v>
      </c>
      <c r="T109" t="s">
        <v>977</v>
      </c>
      <c r="U109" t="s">
        <v>1066</v>
      </c>
      <c r="V109" s="25" t="s">
        <v>1083</v>
      </c>
      <c r="W109" s="25">
        <v>84.96</v>
      </c>
      <c r="X109" t="s">
        <v>1109</v>
      </c>
      <c r="Y109" t="s">
        <v>1110</v>
      </c>
      <c r="Z109" s="32" t="str">
        <f t="array" ref="Z109">IF(ISNUMBER(SEARCH("lipstick",G109)),"lipstick cases,","")&amp; IF(ISNUMBER(SEARCH("piggy",G109)),"Piggy coin bank ","")&amp;IF(ISNUMBER(SEARCH("Jewelry",G109)),"Jewelry box ","")&amp; IF(ISNUMBER(SEARCH("clutch",G109)),"Clutch purse,","")&amp; IF(ISNUMBER(SEARCH("wallet",G109)),"Wallet ","")&amp; IF(ISNUMBER(SEARCH("sling",G109)),"Sling bag ", "")&amp; IF(ISNUMBER(SEARCH("shoulder bag",G109)),"Shoulder bag,","")&amp; IF(ISNUMBER(SEARCH("Handbag",G109)),"Handbag","")</f>
        <v xml:space="preserve">Jewelry box </v>
      </c>
      <c r="AA109" t="s">
        <v>1133</v>
      </c>
    </row>
    <row r="110" spans="1:27" ht="15.6" x14ac:dyDescent="0.3">
      <c r="A110" s="2" t="s">
        <v>528</v>
      </c>
      <c r="B110" s="5" t="s">
        <v>529</v>
      </c>
      <c r="C110" s="2" t="s">
        <v>530</v>
      </c>
      <c r="D110" s="2" t="s">
        <v>531</v>
      </c>
      <c r="E110" s="2" t="s">
        <v>37</v>
      </c>
      <c r="F110" s="2" t="s">
        <v>289</v>
      </c>
      <c r="G110" s="2" t="s">
        <v>532</v>
      </c>
      <c r="H110" s="20">
        <v>1</v>
      </c>
      <c r="I110" s="13">
        <v>399</v>
      </c>
      <c r="J110" s="13">
        <v>84.96</v>
      </c>
      <c r="K110" s="2" t="s">
        <v>40</v>
      </c>
      <c r="L110" s="2" t="s">
        <v>22</v>
      </c>
      <c r="M110" t="str">
        <f t="shared" si="8"/>
        <v>Fri 25 Feb 2022 8:44 pm IST</v>
      </c>
      <c r="N110" t="s">
        <v>941</v>
      </c>
      <c r="O110" s="7" t="str">
        <f t="shared" si="7"/>
        <v>Fri 25 Feb 2022 8:44 pm</v>
      </c>
      <c r="P110" s="7">
        <v>44617</v>
      </c>
      <c r="Q110" t="s">
        <v>881</v>
      </c>
      <c r="R110" s="11" t="s">
        <v>530</v>
      </c>
      <c r="S110" t="str">
        <f t="shared" si="9"/>
        <v>SECUNDERABAD</v>
      </c>
      <c r="T110" t="s">
        <v>1031</v>
      </c>
      <c r="U110" t="s">
        <v>1051</v>
      </c>
      <c r="V110" s="25" t="s">
        <v>1074</v>
      </c>
      <c r="W110" s="25">
        <v>84.96</v>
      </c>
      <c r="X110" t="s">
        <v>1109</v>
      </c>
      <c r="Y110" t="s">
        <v>1110</v>
      </c>
      <c r="Z110" s="32" t="str">
        <f t="array" ref="Z110">IF(ISNUMBER(SEARCH("lipstick",G110)),"lipstick cases,","")&amp; IF(ISNUMBER(SEARCH("piggy",G110)),"Piggy coin bank ","")&amp;IF(ISNUMBER(SEARCH("Jewelry",G110)),"Jewelry box ","")&amp; IF(ISNUMBER(SEARCH("clutch",G110)),"Clutch purse,","")&amp; IF(ISNUMBER(SEARCH("wallet",G110)),"Wallet ","")&amp; IF(ISNUMBER(SEARCH("sling",G110)),"Sling bag ", "")&amp; IF(ISNUMBER(SEARCH("shoulder bag",G110)),"Shoulder bag,","")&amp; IF(ISNUMBER(SEARCH("Handbag",G110)),"Handbag","")</f>
        <v xml:space="preserve">Clutch purse,Wallet </v>
      </c>
      <c r="AA110" t="s">
        <v>1133</v>
      </c>
    </row>
    <row r="111" spans="1:27" ht="15.6" x14ac:dyDescent="0.3">
      <c r="A111" s="2" t="s">
        <v>533</v>
      </c>
      <c r="B111" s="5" t="s">
        <v>534</v>
      </c>
      <c r="C111" s="2" t="s">
        <v>535</v>
      </c>
      <c r="D111" s="2" t="s">
        <v>536</v>
      </c>
      <c r="E111" s="2" t="s">
        <v>54</v>
      </c>
      <c r="F111" s="2" t="s">
        <v>537</v>
      </c>
      <c r="G111" s="2" t="s">
        <v>538</v>
      </c>
      <c r="H111" s="20">
        <v>1</v>
      </c>
      <c r="I111" s="13">
        <v>1299</v>
      </c>
      <c r="J111" s="13">
        <v>80.239999999999995</v>
      </c>
      <c r="K111" s="2" t="s">
        <v>21</v>
      </c>
      <c r="L111" s="2" t="s">
        <v>22</v>
      </c>
      <c r="M111" t="str">
        <f t="shared" si="8"/>
        <v>Sun 26 Dec 2021 6:00 am IST</v>
      </c>
      <c r="N111" t="s">
        <v>935</v>
      </c>
      <c r="O111" s="7" t="str">
        <f t="shared" si="7"/>
        <v>Sun 26 Dec 2021 6:00 am</v>
      </c>
      <c r="P111" s="7">
        <v>44556</v>
      </c>
      <c r="Q111" t="s">
        <v>882</v>
      </c>
      <c r="R111" s="11" t="s">
        <v>535</v>
      </c>
      <c r="S111" t="str">
        <f t="shared" si="9"/>
        <v>Kolkata</v>
      </c>
      <c r="T111" t="s">
        <v>991</v>
      </c>
      <c r="U111" t="s">
        <v>1052</v>
      </c>
      <c r="V111" s="25" t="s">
        <v>1078</v>
      </c>
      <c r="W111" s="25">
        <v>80.239999999999995</v>
      </c>
      <c r="X111" t="s">
        <v>1108</v>
      </c>
      <c r="Y111" t="s">
        <v>1110</v>
      </c>
      <c r="Z111" s="32" t="str">
        <f t="array" ref="Z111">IF(ISNUMBER(SEARCH("lipstick",G111)),"lipstick cases,","")&amp; IF(ISNUMBER(SEARCH("piggy",G111)),"Piggy coin bank ","")&amp;IF(ISNUMBER(SEARCH("Jewelry",G111)),"Jewelry box ","")&amp; IF(ISNUMBER(SEARCH("clutch",G111)),"Clutch purse,","")&amp; IF(ISNUMBER(SEARCH("wallet",G111)),"Wallet ","")&amp; IF(ISNUMBER(SEARCH("sling",G111)),"Sling bag ", "")&amp; IF(ISNUMBER(SEARCH("shoulder bag",G111)),"Shoulder bag,","")&amp; IF(ISNUMBER(SEARCH("Handbag",G111)),"Handbag","")</f>
        <v>Shoulder bag,Handbag</v>
      </c>
      <c r="AA111" t="s">
        <v>1135</v>
      </c>
    </row>
    <row r="112" spans="1:27" ht="15.6" x14ac:dyDescent="0.3">
      <c r="A112" s="2" t="s">
        <v>540</v>
      </c>
      <c r="B112" s="5" t="s">
        <v>541</v>
      </c>
      <c r="C112" s="2" t="s">
        <v>542</v>
      </c>
      <c r="D112" s="2" t="s">
        <v>15</v>
      </c>
      <c r="E112" s="2" t="s">
        <v>16</v>
      </c>
      <c r="F112" s="2" t="s">
        <v>17</v>
      </c>
      <c r="G112" s="2" t="s">
        <v>18</v>
      </c>
      <c r="H112" s="20">
        <v>1</v>
      </c>
      <c r="I112" s="13">
        <v>449</v>
      </c>
      <c r="J112" s="13">
        <v>84.96</v>
      </c>
      <c r="K112" s="2" t="s">
        <v>21</v>
      </c>
      <c r="L112" s="2" t="s">
        <v>22</v>
      </c>
      <c r="M112" t="str">
        <f t="shared" si="8"/>
        <v>Wed 19 Jan 2022 7:13 pm IST</v>
      </c>
      <c r="N112" t="s">
        <v>937</v>
      </c>
      <c r="O112" s="7" t="str">
        <f t="shared" si="7"/>
        <v>Wed 19 Jan 2022 7:13 pm</v>
      </c>
      <c r="P112" s="7">
        <v>44580</v>
      </c>
      <c r="Q112" t="s">
        <v>883</v>
      </c>
      <c r="R112" s="11" t="s">
        <v>542</v>
      </c>
      <c r="S112" t="str">
        <f t="shared" si="9"/>
        <v>CHANDIGARH</v>
      </c>
      <c r="T112" t="s">
        <v>977</v>
      </c>
      <c r="U112" t="s">
        <v>977</v>
      </c>
      <c r="V112" s="25" t="s">
        <v>1072</v>
      </c>
      <c r="W112" s="25">
        <v>84.96</v>
      </c>
      <c r="X112" t="s">
        <v>1108</v>
      </c>
      <c r="Y112" t="s">
        <v>1110</v>
      </c>
      <c r="Z112" s="32" t="str">
        <f t="array" ref="Z112">IF(ISNUMBER(SEARCH("lipstick",G112)),"lipstick cases,","")&amp; IF(ISNUMBER(SEARCH("piggy",G112)),"Piggy coin bank ","")&amp;IF(ISNUMBER(SEARCH("Jewelry",G112)),"Jewelry box ","")&amp; IF(ISNUMBER(SEARCH("clutch",G112)),"Clutch purse,","")&amp; IF(ISNUMBER(SEARCH("wallet",G112)),"Wallet ","")&amp; IF(ISNUMBER(SEARCH("sling",G112)),"Sling bag ", "")&amp; IF(ISNUMBER(SEARCH("shoulder bag",G112)),"Shoulder bag,","")&amp; IF(ISNUMBER(SEARCH("Handbag",G112)),"Handbag","")</f>
        <v xml:space="preserve">Piggy coin bank </v>
      </c>
      <c r="AA112" t="s">
        <v>1134</v>
      </c>
    </row>
    <row r="113" spans="1:27" ht="15.6" x14ac:dyDescent="0.3">
      <c r="A113" s="2" t="s">
        <v>543</v>
      </c>
      <c r="B113" s="5" t="s">
        <v>544</v>
      </c>
      <c r="C113" s="2" t="s">
        <v>545</v>
      </c>
      <c r="D113" s="2" t="s">
        <v>517</v>
      </c>
      <c r="E113" s="2" t="s">
        <v>62</v>
      </c>
      <c r="F113" s="2" t="s">
        <v>321</v>
      </c>
      <c r="G113" s="2" t="s">
        <v>322</v>
      </c>
      <c r="H113" s="20">
        <v>1</v>
      </c>
      <c r="I113" s="13">
        <v>1299</v>
      </c>
      <c r="J113" s="13">
        <v>146.32</v>
      </c>
      <c r="K113" s="2" t="s">
        <v>21</v>
      </c>
      <c r="L113" s="2" t="s">
        <v>22</v>
      </c>
      <c r="M113" t="str">
        <f t="shared" si="8"/>
        <v>Thu 9 Dec 2021 3:48 pm IST</v>
      </c>
      <c r="N113" t="s">
        <v>938</v>
      </c>
      <c r="O113" s="7" t="str">
        <f t="shared" si="7"/>
        <v>Thu 9 Dec 2021 3:48 pm</v>
      </c>
      <c r="P113" s="7">
        <v>44539</v>
      </c>
      <c r="Q113" t="s">
        <v>884</v>
      </c>
      <c r="R113" s="11" t="s">
        <v>545</v>
      </c>
      <c r="S113" t="str">
        <f t="shared" si="9"/>
        <v>NOIDA</v>
      </c>
      <c r="T113" t="s">
        <v>1030</v>
      </c>
      <c r="U113" t="s">
        <v>1053</v>
      </c>
      <c r="V113" s="25" t="s">
        <v>1078</v>
      </c>
      <c r="W113" s="25">
        <v>146.32</v>
      </c>
      <c r="X113" t="s">
        <v>1108</v>
      </c>
      <c r="Y113" t="s">
        <v>1110</v>
      </c>
      <c r="Z113" s="32" t="str">
        <f t="array" ref="Z113">IF(ISNUMBER(SEARCH("lipstick",G113)),"lipstick cases,","")&amp; IF(ISNUMBER(SEARCH("piggy",G113)),"Piggy coin bank ","")&amp;IF(ISNUMBER(SEARCH("Jewelry",G113)),"Jewelry box ","")&amp; IF(ISNUMBER(SEARCH("clutch",G113)),"Clutch purse,","")&amp; IF(ISNUMBER(SEARCH("wallet",G113)),"Wallet ","")&amp; IF(ISNUMBER(SEARCH("sling",G113)),"Sling bag ", "")&amp; IF(ISNUMBER(SEARCH("shoulder bag",G113)),"Shoulder bag,","")&amp; IF(ISNUMBER(SEARCH("Handbag",G113)),"Handbag","")</f>
        <v>Shoulder bag,Handbag</v>
      </c>
      <c r="AA113" t="s">
        <v>1135</v>
      </c>
    </row>
    <row r="114" spans="1:27" ht="15.6" x14ac:dyDescent="0.3">
      <c r="A114" s="2" t="s">
        <v>547</v>
      </c>
      <c r="B114" s="5" t="s">
        <v>548</v>
      </c>
      <c r="C114" s="2" t="s">
        <v>549</v>
      </c>
      <c r="D114" s="2" t="s">
        <v>550</v>
      </c>
      <c r="E114" s="2" t="s">
        <v>551</v>
      </c>
      <c r="F114" s="2" t="s">
        <v>552</v>
      </c>
      <c r="G114" s="2" t="s">
        <v>553</v>
      </c>
      <c r="H114" s="20">
        <v>1</v>
      </c>
      <c r="I114" s="13">
        <v>549</v>
      </c>
      <c r="J114" s="13">
        <v>60.18</v>
      </c>
      <c r="K114" s="2" t="s">
        <v>40</v>
      </c>
      <c r="L114" s="2" t="s">
        <v>22</v>
      </c>
      <c r="M114" t="str">
        <f t="shared" si="8"/>
        <v>Fri 17 Dec 2021 3:57 pm IST</v>
      </c>
      <c r="N114" t="s">
        <v>941</v>
      </c>
      <c r="O114" s="7" t="str">
        <f t="shared" si="7"/>
        <v>Fri 17 Dec 2021 3:57 pm</v>
      </c>
      <c r="P114" s="7">
        <v>44547</v>
      </c>
      <c r="Q114" t="s">
        <v>885</v>
      </c>
      <c r="R114" s="11" t="s">
        <v>549</v>
      </c>
      <c r="S114" t="str">
        <f t="shared" si="9"/>
        <v>SIWAN</v>
      </c>
      <c r="T114" t="s">
        <v>1032</v>
      </c>
      <c r="U114" t="s">
        <v>1067</v>
      </c>
      <c r="V114" s="25" t="s">
        <v>1077</v>
      </c>
      <c r="W114" s="25">
        <v>60.18</v>
      </c>
      <c r="X114" t="s">
        <v>1109</v>
      </c>
      <c r="Y114" t="s">
        <v>1110</v>
      </c>
      <c r="Z114" s="32" t="str">
        <f t="array" ref="Z114">IF(ISNUMBER(SEARCH("lipstick",G114)),"lipstick cases,","")&amp; IF(ISNUMBER(SEARCH("piggy",G114)),"Piggy coin bank ","")&amp;IF(ISNUMBER(SEARCH("Jewelry",G114)),"Jewelry box ","")&amp; IF(ISNUMBER(SEARCH("clutch",G114)),"Clutch purse,","")&amp; IF(ISNUMBER(SEARCH("wallet",G114)),"Wallet ","")&amp; IF(ISNUMBER(SEARCH("sling",G114)),"Sling bag ", "")&amp; IF(ISNUMBER(SEARCH("shoulder bag",G114)),"Shoulder bag,","")&amp; IF(ISNUMBER(SEARCH("Handbag",G114)),"Handbag","")</f>
        <v xml:space="preserve">Piggy coin bank </v>
      </c>
      <c r="AA114" t="s">
        <v>1135</v>
      </c>
    </row>
    <row r="115" spans="1:27" ht="15.6" x14ac:dyDescent="0.3">
      <c r="A115" s="2" t="s">
        <v>554</v>
      </c>
      <c r="B115" s="5" t="s">
        <v>555</v>
      </c>
      <c r="C115" s="2" t="s">
        <v>556</v>
      </c>
      <c r="D115" s="2" t="s">
        <v>156</v>
      </c>
      <c r="E115" s="2" t="s">
        <v>91</v>
      </c>
      <c r="F115" s="2" t="s">
        <v>234</v>
      </c>
      <c r="G115" s="2" t="s">
        <v>235</v>
      </c>
      <c r="H115" s="20">
        <v>1</v>
      </c>
      <c r="I115" s="13">
        <v>399</v>
      </c>
      <c r="J115" s="13">
        <v>84.96</v>
      </c>
      <c r="K115" s="2" t="s">
        <v>21</v>
      </c>
      <c r="L115" s="2" t="s">
        <v>22</v>
      </c>
      <c r="M115" t="str">
        <f t="shared" si="8"/>
        <v>Wed 8 Dec 2021 9:22 pm IST</v>
      </c>
      <c r="N115" t="s">
        <v>937</v>
      </c>
      <c r="O115" s="7" t="str">
        <f t="shared" si="7"/>
        <v>Wed 8 Dec 2021 9:22 pm</v>
      </c>
      <c r="P115" s="7">
        <v>44538</v>
      </c>
      <c r="Q115" t="s">
        <v>886</v>
      </c>
      <c r="R115" s="11" t="s">
        <v>963</v>
      </c>
      <c r="S115" t="str">
        <f t="shared" si="9"/>
        <v>GURUGRAM</v>
      </c>
      <c r="T115" t="s">
        <v>996</v>
      </c>
      <c r="U115" t="s">
        <v>1056</v>
      </c>
      <c r="V115" s="25" t="s">
        <v>1074</v>
      </c>
      <c r="W115" s="25">
        <v>84.96</v>
      </c>
      <c r="X115" t="s">
        <v>1108</v>
      </c>
      <c r="Y115" t="s">
        <v>1110</v>
      </c>
      <c r="Z115" s="32" t="str">
        <f t="array" ref="Z115">IF(ISNUMBER(SEARCH("lipstick",G115)),"lipstick cases,","")&amp; IF(ISNUMBER(SEARCH("piggy",G115)),"Piggy coin bank ","")&amp;IF(ISNUMBER(SEARCH("Jewelry",G115)),"Jewelry box ","")&amp; IF(ISNUMBER(SEARCH("clutch",G115)),"Clutch purse,","")&amp; IF(ISNUMBER(SEARCH("wallet",G115)),"Wallet ","")&amp; IF(ISNUMBER(SEARCH("sling",G115)),"Sling bag ", "")&amp; IF(ISNUMBER(SEARCH("shoulder bag",G115)),"Shoulder bag,","")&amp; IF(ISNUMBER(SEARCH("Handbag",G115)),"Handbag","")</f>
        <v xml:space="preserve">Jewelry box </v>
      </c>
      <c r="AA115" t="s">
        <v>1135</v>
      </c>
    </row>
    <row r="116" spans="1:27" ht="15.6" x14ac:dyDescent="0.3">
      <c r="A116" s="2" t="s">
        <v>557</v>
      </c>
      <c r="B116" s="5" t="s">
        <v>558</v>
      </c>
      <c r="C116" s="2" t="s">
        <v>559</v>
      </c>
      <c r="D116" s="2" t="s">
        <v>275</v>
      </c>
      <c r="E116" s="2" t="s">
        <v>276</v>
      </c>
      <c r="F116" s="2" t="s">
        <v>560</v>
      </c>
      <c r="G116" s="2" t="s">
        <v>561</v>
      </c>
      <c r="H116" s="20">
        <v>1</v>
      </c>
      <c r="I116" s="9" t="s">
        <v>21</v>
      </c>
      <c r="J116" s="13">
        <v>84.96</v>
      </c>
      <c r="K116" s="2" t="s">
        <v>21</v>
      </c>
      <c r="L116" s="2" t="s">
        <v>65</v>
      </c>
      <c r="M116" t="str">
        <f t="shared" si="8"/>
        <v>Sun 23 Jan 2022 9:37 am IST</v>
      </c>
      <c r="N116" t="s">
        <v>935</v>
      </c>
      <c r="O116" s="7" t="str">
        <f t="shared" si="7"/>
        <v>Sun 23 Jan 2022 9:37 am</v>
      </c>
      <c r="P116" s="7">
        <v>44584</v>
      </c>
      <c r="Q116" t="s">
        <v>887</v>
      </c>
      <c r="R116" s="11" t="s">
        <v>559</v>
      </c>
      <c r="S116" t="str">
        <f t="shared" si="9"/>
        <v>Ernakulam</v>
      </c>
      <c r="T116" t="s">
        <v>1008</v>
      </c>
      <c r="U116" t="s">
        <v>1064</v>
      </c>
      <c r="V116" s="25" t="s">
        <v>21</v>
      </c>
      <c r="W116" s="25">
        <v>84.96</v>
      </c>
      <c r="X116" t="s">
        <v>1108</v>
      </c>
      <c r="Y116" t="s">
        <v>1111</v>
      </c>
      <c r="Z116" s="32" t="str">
        <f t="array" ref="Z116">IF(ISNUMBER(SEARCH("lipstick",G116)),"lipstick cases,","")&amp; IF(ISNUMBER(SEARCH("piggy",G116)),"Piggy coin bank ","")&amp;IF(ISNUMBER(SEARCH("Jewelry",G116)),"Jewelry box ","")&amp; IF(ISNUMBER(SEARCH("clutch",G116)),"Clutch purse,","")&amp; IF(ISNUMBER(SEARCH("wallet",G116)),"Wallet ","")&amp; IF(ISNUMBER(SEARCH("sling",G116)),"Sling bag ", "")&amp; IF(ISNUMBER(SEARCH("shoulder bag",G116)),"Shoulder bag,","")&amp; IF(ISNUMBER(SEARCH("Handbag",G116)),"Handbag","")</f>
        <v xml:space="preserve">Clutch purse,Wallet </v>
      </c>
      <c r="AA116" t="s">
        <v>1134</v>
      </c>
    </row>
    <row r="117" spans="1:27" ht="15.6" x14ac:dyDescent="0.3">
      <c r="A117" s="2" t="s">
        <v>562</v>
      </c>
      <c r="B117" s="5" t="s">
        <v>563</v>
      </c>
      <c r="C117" s="2" t="s">
        <v>564</v>
      </c>
      <c r="D117" s="2" t="s">
        <v>136</v>
      </c>
      <c r="E117" s="2" t="s">
        <v>37</v>
      </c>
      <c r="F117" s="2" t="s">
        <v>17</v>
      </c>
      <c r="G117" s="2" t="s">
        <v>18</v>
      </c>
      <c r="H117" s="20">
        <v>1</v>
      </c>
      <c r="I117" s="9" t="s">
        <v>21</v>
      </c>
      <c r="J117" s="13">
        <v>84.96</v>
      </c>
      <c r="K117" s="2" t="s">
        <v>40</v>
      </c>
      <c r="L117" s="2" t="s">
        <v>22</v>
      </c>
      <c r="M117" t="str">
        <f t="shared" si="8"/>
        <v>Sun 30 Jan 2022 2:42 am IST</v>
      </c>
      <c r="N117" t="s">
        <v>935</v>
      </c>
      <c r="O117" s="7" t="str">
        <f t="shared" si="7"/>
        <v>Sun 30 Jan 2022 2:42 am</v>
      </c>
      <c r="P117" s="7">
        <v>44591</v>
      </c>
      <c r="Q117" t="s">
        <v>888</v>
      </c>
      <c r="R117" s="11" t="s">
        <v>564</v>
      </c>
      <c r="S117" t="str">
        <f t="shared" si="9"/>
        <v>HYDERABAD</v>
      </c>
      <c r="T117" t="s">
        <v>993</v>
      </c>
      <c r="U117" t="s">
        <v>1051</v>
      </c>
      <c r="V117" s="25" t="s">
        <v>21</v>
      </c>
      <c r="W117" s="25">
        <v>84.96</v>
      </c>
      <c r="X117" t="s">
        <v>1109</v>
      </c>
      <c r="Y117" t="s">
        <v>1110</v>
      </c>
      <c r="Z117" s="32" t="str">
        <f t="array" ref="Z117">IF(ISNUMBER(SEARCH("lipstick",G117)),"lipstick cases,","")&amp; IF(ISNUMBER(SEARCH("piggy",G117)),"Piggy coin bank ","")&amp;IF(ISNUMBER(SEARCH("Jewelry",G117)),"Jewelry box ","")&amp; IF(ISNUMBER(SEARCH("clutch",G117)),"Clutch purse,","")&amp; IF(ISNUMBER(SEARCH("wallet",G117)),"Wallet ","")&amp; IF(ISNUMBER(SEARCH("sling",G117)),"Sling bag ", "")&amp; IF(ISNUMBER(SEARCH("shoulder bag",G117)),"Shoulder bag,","")&amp; IF(ISNUMBER(SEARCH("Handbag",G117)),"Handbag","")</f>
        <v xml:space="preserve">Piggy coin bank </v>
      </c>
      <c r="AA117" t="s">
        <v>1134</v>
      </c>
    </row>
    <row r="118" spans="1:27" ht="15.6" x14ac:dyDescent="0.3">
      <c r="A118" s="2" t="s">
        <v>565</v>
      </c>
      <c r="B118" s="5" t="s">
        <v>566</v>
      </c>
      <c r="C118" s="2" t="s">
        <v>567</v>
      </c>
      <c r="D118" s="2" t="s">
        <v>568</v>
      </c>
      <c r="E118" s="2" t="s">
        <v>45</v>
      </c>
      <c r="F118" s="2" t="s">
        <v>321</v>
      </c>
      <c r="G118" s="2" t="s">
        <v>322</v>
      </c>
      <c r="H118" s="20">
        <v>1</v>
      </c>
      <c r="I118" s="13">
        <v>1299</v>
      </c>
      <c r="J118" s="13">
        <v>114.46</v>
      </c>
      <c r="K118" s="2" t="s">
        <v>40</v>
      </c>
      <c r="L118" s="2" t="s">
        <v>22</v>
      </c>
      <c r="M118" t="str">
        <f t="shared" si="8"/>
        <v>Mon 6 Dec 2021 4:22 pm IST</v>
      </c>
      <c r="N118" t="s">
        <v>940</v>
      </c>
      <c r="O118" s="7" t="str">
        <f t="shared" si="7"/>
        <v>Mon 6 Dec 2021 4:22 pm</v>
      </c>
      <c r="P118" s="7">
        <v>44536</v>
      </c>
      <c r="Q118" t="s">
        <v>889</v>
      </c>
      <c r="R118" s="11" t="s">
        <v>964</v>
      </c>
      <c r="S118" t="str">
        <f t="shared" si="9"/>
        <v>NAVI MUMBAI</v>
      </c>
      <c r="T118" t="s">
        <v>1033</v>
      </c>
      <c r="U118" t="s">
        <v>339</v>
      </c>
      <c r="V118" s="25" t="s">
        <v>1078</v>
      </c>
      <c r="W118" s="25">
        <v>114.46</v>
      </c>
      <c r="X118" t="s">
        <v>1109</v>
      </c>
      <c r="Y118" t="s">
        <v>1110</v>
      </c>
      <c r="Z118" s="32" t="str">
        <f t="array" ref="Z118">IF(ISNUMBER(SEARCH("lipstick",G118)),"lipstick cases,","")&amp; IF(ISNUMBER(SEARCH("piggy",G118)),"Piggy coin bank ","")&amp;IF(ISNUMBER(SEARCH("Jewelry",G118)),"Jewelry box ","")&amp; IF(ISNUMBER(SEARCH("clutch",G118)),"Clutch purse,","")&amp; IF(ISNUMBER(SEARCH("wallet",G118)),"Wallet ","")&amp; IF(ISNUMBER(SEARCH("sling",G118)),"Sling bag ", "")&amp; IF(ISNUMBER(SEARCH("shoulder bag",G118)),"Shoulder bag,","")&amp; IF(ISNUMBER(SEARCH("Handbag",G118)),"Handbag","")</f>
        <v>Shoulder bag,Handbag</v>
      </c>
      <c r="AA118" t="s">
        <v>1135</v>
      </c>
    </row>
    <row r="119" spans="1:27" ht="15.6" x14ac:dyDescent="0.3">
      <c r="A119" s="2" t="s">
        <v>569</v>
      </c>
      <c r="B119" s="5" t="s">
        <v>570</v>
      </c>
      <c r="C119" s="2" t="s">
        <v>571</v>
      </c>
      <c r="D119" s="2" t="s">
        <v>536</v>
      </c>
      <c r="E119" s="2" t="s">
        <v>54</v>
      </c>
      <c r="F119" s="2" t="s">
        <v>321</v>
      </c>
      <c r="G119" s="2" t="s">
        <v>322</v>
      </c>
      <c r="H119" s="20">
        <v>3</v>
      </c>
      <c r="I119" s="13">
        <v>3897</v>
      </c>
      <c r="J119" s="13">
        <v>133.34</v>
      </c>
      <c r="K119" s="2" t="s">
        <v>21</v>
      </c>
      <c r="L119" s="2" t="s">
        <v>22</v>
      </c>
      <c r="M119" t="str">
        <f t="shared" si="8"/>
        <v>Tue 21 Dec 2021 4:11 pm IST</v>
      </c>
      <c r="N119" t="s">
        <v>936</v>
      </c>
      <c r="O119" s="7" t="str">
        <f t="shared" si="7"/>
        <v>Tue 21 Dec 2021 4:11 pm</v>
      </c>
      <c r="P119" s="7">
        <v>44551</v>
      </c>
      <c r="Q119" t="s">
        <v>890</v>
      </c>
      <c r="R119" s="11" t="s">
        <v>571</v>
      </c>
      <c r="S119" t="str">
        <f t="shared" si="9"/>
        <v>Kolkata</v>
      </c>
      <c r="T119" t="s">
        <v>991</v>
      </c>
      <c r="U119" t="s">
        <v>1052</v>
      </c>
      <c r="V119" s="25" t="s">
        <v>1084</v>
      </c>
      <c r="W119" s="25">
        <v>133.34</v>
      </c>
      <c r="X119" t="s">
        <v>1108</v>
      </c>
      <c r="Y119" t="s">
        <v>1110</v>
      </c>
      <c r="Z119" s="32" t="str">
        <f t="array" ref="Z119">IF(ISNUMBER(SEARCH("lipstick",G119)),"lipstick cases,","")&amp; IF(ISNUMBER(SEARCH("piggy",G119)),"Piggy coin bank ","")&amp;IF(ISNUMBER(SEARCH("Jewelry",G119)),"Jewelry box ","")&amp; IF(ISNUMBER(SEARCH("clutch",G119)),"Clutch purse,","")&amp; IF(ISNUMBER(SEARCH("wallet",G119)),"Wallet ","")&amp; IF(ISNUMBER(SEARCH("sling",G119)),"Sling bag ", "")&amp; IF(ISNUMBER(SEARCH("shoulder bag",G119)),"Shoulder bag,","")&amp; IF(ISNUMBER(SEARCH("Handbag",G119)),"Handbag","")</f>
        <v>Shoulder bag,Handbag</v>
      </c>
      <c r="AA119" t="s">
        <v>1135</v>
      </c>
    </row>
    <row r="120" spans="1:27" ht="15.6" x14ac:dyDescent="0.3">
      <c r="A120" s="2" t="s">
        <v>574</v>
      </c>
      <c r="B120" s="5" t="s">
        <v>575</v>
      </c>
      <c r="C120" s="2" t="s">
        <v>256</v>
      </c>
      <c r="D120" s="2" t="s">
        <v>257</v>
      </c>
      <c r="E120" s="2" t="s">
        <v>45</v>
      </c>
      <c r="F120" s="2" t="s">
        <v>28</v>
      </c>
      <c r="G120" s="2" t="s">
        <v>29</v>
      </c>
      <c r="H120" s="20">
        <v>1</v>
      </c>
      <c r="I120" s="13">
        <v>449</v>
      </c>
      <c r="J120" s="13">
        <v>84.96</v>
      </c>
      <c r="K120" s="2" t="s">
        <v>21</v>
      </c>
      <c r="L120" s="2" t="s">
        <v>22</v>
      </c>
      <c r="M120" t="str">
        <f t="shared" si="8"/>
        <v>Thu 9 Dec 2021 1:22 pm IST</v>
      </c>
      <c r="N120" t="s">
        <v>938</v>
      </c>
      <c r="O120" s="7" t="str">
        <f t="shared" si="7"/>
        <v>Thu 9 Dec 2021 1:22 pm</v>
      </c>
      <c r="P120" s="7">
        <v>44539</v>
      </c>
      <c r="Q120" t="s">
        <v>891</v>
      </c>
      <c r="R120" s="11" t="s">
        <v>256</v>
      </c>
      <c r="S120" t="str">
        <f t="shared" si="9"/>
        <v>Mumbai</v>
      </c>
      <c r="T120" t="s">
        <v>980</v>
      </c>
      <c r="U120" t="s">
        <v>339</v>
      </c>
      <c r="V120" s="25" t="s">
        <v>1072</v>
      </c>
      <c r="W120" s="25">
        <v>84.96</v>
      </c>
      <c r="X120" t="s">
        <v>1108</v>
      </c>
      <c r="Y120" t="s">
        <v>1110</v>
      </c>
      <c r="Z120" s="32" t="str">
        <f t="array" ref="Z120">IF(ISNUMBER(SEARCH("lipstick",G120)),"lipstick cases,","")&amp; IF(ISNUMBER(SEARCH("piggy",G120)),"Piggy coin bank ","")&amp;IF(ISNUMBER(SEARCH("Jewelry",G120)),"Jewelry box ","")&amp; IF(ISNUMBER(SEARCH("clutch",G120)),"Clutch purse,","")&amp; IF(ISNUMBER(SEARCH("wallet",G120)),"Wallet ","")&amp; IF(ISNUMBER(SEARCH("sling",G120)),"Sling bag ", "")&amp; IF(ISNUMBER(SEARCH("shoulder bag",G120)),"Shoulder bag,","")&amp; IF(ISNUMBER(SEARCH("Handbag",G120)),"Handbag","")</f>
        <v xml:space="preserve">lipstick cases,Jewelry box </v>
      </c>
      <c r="AA120" t="s">
        <v>1135</v>
      </c>
    </row>
    <row r="121" spans="1:27" ht="15.6" x14ac:dyDescent="0.3">
      <c r="A121" s="2" t="s">
        <v>576</v>
      </c>
      <c r="B121" s="5" t="s">
        <v>577</v>
      </c>
      <c r="C121" s="2" t="s">
        <v>578</v>
      </c>
      <c r="D121" s="2" t="s">
        <v>579</v>
      </c>
      <c r="E121" s="2" t="s">
        <v>190</v>
      </c>
      <c r="F121" s="2" t="s">
        <v>224</v>
      </c>
      <c r="G121" s="2" t="s">
        <v>225</v>
      </c>
      <c r="H121" s="20">
        <v>1</v>
      </c>
      <c r="I121" s="13">
        <v>449</v>
      </c>
      <c r="J121" s="13">
        <v>84.96</v>
      </c>
      <c r="K121" s="2" t="s">
        <v>21</v>
      </c>
      <c r="L121" s="2" t="s">
        <v>22</v>
      </c>
      <c r="M121" t="str">
        <f t="shared" si="8"/>
        <v>Wed 1 Dec 2021 7:12 pm IST</v>
      </c>
      <c r="N121" t="s">
        <v>937</v>
      </c>
      <c r="O121" s="7" t="str">
        <f t="shared" si="7"/>
        <v>Wed 1 Dec 2021 7:12 pm</v>
      </c>
      <c r="P121" s="7">
        <v>44531</v>
      </c>
      <c r="Q121" t="s">
        <v>892</v>
      </c>
      <c r="R121" s="11" t="s">
        <v>578</v>
      </c>
      <c r="S121" t="str">
        <f t="shared" si="9"/>
        <v>Bardez</v>
      </c>
      <c r="T121" t="s">
        <v>1034</v>
      </c>
      <c r="U121" t="s">
        <v>1060</v>
      </c>
      <c r="V121" s="25" t="s">
        <v>1072</v>
      </c>
      <c r="W121" s="25">
        <v>84.96</v>
      </c>
      <c r="X121" t="s">
        <v>1108</v>
      </c>
      <c r="Y121" t="s">
        <v>1110</v>
      </c>
      <c r="Z121" s="32" t="str">
        <f t="array" ref="Z121">IF(ISNUMBER(SEARCH("lipstick",G121)),"lipstick cases,","")&amp; IF(ISNUMBER(SEARCH("piggy",G121)),"Piggy coin bank ","")&amp;IF(ISNUMBER(SEARCH("Jewelry",G121)),"Jewelry box ","")&amp; IF(ISNUMBER(SEARCH("clutch",G121)),"Clutch purse,","")&amp; IF(ISNUMBER(SEARCH("wallet",G121)),"Wallet ","")&amp; IF(ISNUMBER(SEARCH("sling",G121)),"Sling bag ", "")&amp; IF(ISNUMBER(SEARCH("shoulder bag",G121)),"Shoulder bag,","")&amp; IF(ISNUMBER(SEARCH("Handbag",G121)),"Handbag","")</f>
        <v xml:space="preserve">Piggy coin bank </v>
      </c>
      <c r="AA121" t="s">
        <v>1135</v>
      </c>
    </row>
    <row r="122" spans="1:27" ht="15.6" x14ac:dyDescent="0.3">
      <c r="A122" s="2" t="s">
        <v>580</v>
      </c>
      <c r="B122" s="5" t="s">
        <v>581</v>
      </c>
      <c r="C122" s="2" t="s">
        <v>582</v>
      </c>
      <c r="D122" s="2" t="s">
        <v>583</v>
      </c>
      <c r="E122" s="2" t="s">
        <v>102</v>
      </c>
      <c r="F122" s="2" t="s">
        <v>584</v>
      </c>
      <c r="G122" s="2" t="s">
        <v>585</v>
      </c>
      <c r="H122" s="20">
        <v>1</v>
      </c>
      <c r="I122" s="13">
        <v>1499</v>
      </c>
      <c r="J122" s="13">
        <v>114.46</v>
      </c>
      <c r="K122" s="2" t="s">
        <v>21</v>
      </c>
      <c r="L122" s="2" t="s">
        <v>22</v>
      </c>
      <c r="M122" t="str">
        <f t="shared" si="8"/>
        <v>Fri 4 Feb 2022 11:44 pm IST</v>
      </c>
      <c r="N122" t="s">
        <v>941</v>
      </c>
      <c r="O122" s="7" t="str">
        <f t="shared" si="7"/>
        <v>Fri 4 Feb 2022 11:44 pm</v>
      </c>
      <c r="P122" s="7">
        <v>44596</v>
      </c>
      <c r="Q122" t="s">
        <v>893</v>
      </c>
      <c r="R122" s="11" t="s">
        <v>331</v>
      </c>
      <c r="S122" t="str">
        <f t="shared" si="9"/>
        <v>chennai</v>
      </c>
      <c r="T122" t="s">
        <v>1021</v>
      </c>
      <c r="U122" t="s">
        <v>1058</v>
      </c>
      <c r="V122" s="25" t="s">
        <v>1085</v>
      </c>
      <c r="W122" s="25">
        <v>114.46</v>
      </c>
      <c r="X122" t="s">
        <v>1108</v>
      </c>
      <c r="Y122" t="s">
        <v>1110</v>
      </c>
      <c r="Z122" s="32" t="str">
        <f t="array" ref="Z122">IF(ISNUMBER(SEARCH("lipstick",G122)),"lipstick cases,","")&amp; IF(ISNUMBER(SEARCH("piggy",G122)),"Piggy coin bank ","")&amp;IF(ISNUMBER(SEARCH("Jewelry",G122)),"Jewelry box ","")&amp; IF(ISNUMBER(SEARCH("clutch",G122)),"Clutch purse,","")&amp; IF(ISNUMBER(SEARCH("wallet",G122)),"Wallet ","")&amp; IF(ISNUMBER(SEARCH("sling",G122)),"Sling bag ", "")&amp; IF(ISNUMBER(SEARCH("shoulder bag",G122)),"Shoulder bag,","")&amp; IF(ISNUMBER(SEARCH("Handbag",G122)),"Handbag","")</f>
        <v>Shoulder bag,</v>
      </c>
      <c r="AA122" t="s">
        <v>1133</v>
      </c>
    </row>
    <row r="123" spans="1:27" ht="15.6" x14ac:dyDescent="0.3">
      <c r="A123" s="2" t="s">
        <v>587</v>
      </c>
      <c r="B123" s="5" t="s">
        <v>588</v>
      </c>
      <c r="C123" s="2" t="s">
        <v>571</v>
      </c>
      <c r="D123" s="2" t="s">
        <v>402</v>
      </c>
      <c r="E123" s="2" t="s">
        <v>102</v>
      </c>
      <c r="F123" s="2" t="s">
        <v>321</v>
      </c>
      <c r="G123" s="2" t="s">
        <v>322</v>
      </c>
      <c r="H123" s="20">
        <v>3</v>
      </c>
      <c r="I123" s="13">
        <v>3897</v>
      </c>
      <c r="J123" s="13">
        <v>241.9</v>
      </c>
      <c r="K123" s="2" t="s">
        <v>21</v>
      </c>
      <c r="L123" s="2" t="s">
        <v>22</v>
      </c>
      <c r="M123" t="str">
        <f t="shared" si="8"/>
        <v>Tue 21 Dec 2021 4:15 pm IST</v>
      </c>
      <c r="N123" t="s">
        <v>936</v>
      </c>
      <c r="O123" s="7" t="str">
        <f t="shared" si="7"/>
        <v>Tue 21 Dec 2021 4:15 pm</v>
      </c>
      <c r="P123" s="7">
        <v>44551</v>
      </c>
      <c r="Q123" t="s">
        <v>894</v>
      </c>
      <c r="R123" s="11" t="s">
        <v>571</v>
      </c>
      <c r="S123" t="str">
        <f t="shared" si="9"/>
        <v>CHENNAI</v>
      </c>
      <c r="T123" t="s">
        <v>1021</v>
      </c>
      <c r="U123" t="s">
        <v>1058</v>
      </c>
      <c r="V123" s="25" t="s">
        <v>1084</v>
      </c>
      <c r="W123" s="25">
        <v>241.9</v>
      </c>
      <c r="X123" t="s">
        <v>1108</v>
      </c>
      <c r="Y123" t="s">
        <v>1110</v>
      </c>
      <c r="Z123" s="32" t="str">
        <f t="array" ref="Z123">IF(ISNUMBER(SEARCH("lipstick",G123)),"lipstick cases,","")&amp; IF(ISNUMBER(SEARCH("piggy",G123)),"Piggy coin bank ","")&amp;IF(ISNUMBER(SEARCH("Jewelry",G123)),"Jewelry box ","")&amp; IF(ISNUMBER(SEARCH("clutch",G123)),"Clutch purse,","")&amp; IF(ISNUMBER(SEARCH("wallet",G123)),"Wallet ","")&amp; IF(ISNUMBER(SEARCH("sling",G123)),"Sling bag ", "")&amp; IF(ISNUMBER(SEARCH("shoulder bag",G123)),"Shoulder bag,","")&amp; IF(ISNUMBER(SEARCH("Handbag",G123)),"Handbag","")</f>
        <v>Shoulder bag,Handbag</v>
      </c>
      <c r="AA123" t="s">
        <v>1135</v>
      </c>
    </row>
    <row r="124" spans="1:27" ht="15.6" x14ac:dyDescent="0.3">
      <c r="A124" s="2" t="s">
        <v>590</v>
      </c>
      <c r="B124" s="5" t="s">
        <v>591</v>
      </c>
      <c r="C124" s="2" t="s">
        <v>308</v>
      </c>
      <c r="D124" s="2" t="s">
        <v>592</v>
      </c>
      <c r="E124" s="2" t="s">
        <v>45</v>
      </c>
      <c r="F124" s="2" t="s">
        <v>593</v>
      </c>
      <c r="G124" s="2" t="s">
        <v>594</v>
      </c>
      <c r="H124" s="20">
        <v>1</v>
      </c>
      <c r="I124" s="13">
        <v>349</v>
      </c>
      <c r="J124" s="13">
        <v>84.96</v>
      </c>
      <c r="K124" s="2" t="s">
        <v>21</v>
      </c>
      <c r="L124" s="2" t="s">
        <v>22</v>
      </c>
      <c r="M124" t="str">
        <f t="shared" si="8"/>
        <v>Mon 6 Dec 2021 11:29 pm IST</v>
      </c>
      <c r="N124" t="s">
        <v>940</v>
      </c>
      <c r="O124" s="7" t="str">
        <f t="shared" si="7"/>
        <v>Mon 6 Dec 2021 11:29 pm</v>
      </c>
      <c r="P124" s="7">
        <v>44536</v>
      </c>
      <c r="Q124" t="s">
        <v>895</v>
      </c>
      <c r="R124" s="11" t="s">
        <v>308</v>
      </c>
      <c r="S124" t="str">
        <f t="shared" si="9"/>
        <v>Thane District</v>
      </c>
      <c r="T124" t="s">
        <v>1035</v>
      </c>
      <c r="U124" t="s">
        <v>339</v>
      </c>
      <c r="V124" s="25" t="s">
        <v>1079</v>
      </c>
      <c r="W124" s="25">
        <v>84.96</v>
      </c>
      <c r="X124" t="s">
        <v>1108</v>
      </c>
      <c r="Y124" t="s">
        <v>1110</v>
      </c>
      <c r="Z124" s="32" t="str">
        <f t="array" ref="Z124">IF(ISNUMBER(SEARCH("lipstick",G124)),"lipstick cases,","")&amp; IF(ISNUMBER(SEARCH("piggy",G124)),"Piggy coin bank ","")&amp;IF(ISNUMBER(SEARCH("Jewelry",G124)),"Jewelry box ","")&amp; IF(ISNUMBER(SEARCH("clutch",G124)),"Clutch purse,","")&amp; IF(ISNUMBER(SEARCH("wallet",G124)),"Wallet ","")&amp; IF(ISNUMBER(SEARCH("sling",G124)),"Sling bag ", "")&amp; IF(ISNUMBER(SEARCH("shoulder bag",G124)),"Shoulder bag,","")&amp; IF(ISNUMBER(SEARCH("Handbag",G124)),"Handbag","")</f>
        <v xml:space="preserve">Piggy coin bank </v>
      </c>
      <c r="AA124" t="s">
        <v>1135</v>
      </c>
    </row>
    <row r="125" spans="1:27" ht="15.6" x14ac:dyDescent="0.3">
      <c r="A125" s="2" t="s">
        <v>595</v>
      </c>
      <c r="B125" s="5" t="s">
        <v>596</v>
      </c>
      <c r="C125" s="2" t="s">
        <v>597</v>
      </c>
      <c r="D125" s="2" t="s">
        <v>136</v>
      </c>
      <c r="E125" s="2" t="s">
        <v>37</v>
      </c>
      <c r="F125" s="2" t="s">
        <v>598</v>
      </c>
      <c r="G125" s="2" t="s">
        <v>599</v>
      </c>
      <c r="H125" s="20">
        <v>1</v>
      </c>
      <c r="I125" s="13">
        <v>449</v>
      </c>
      <c r="J125" s="13">
        <v>84.96</v>
      </c>
      <c r="K125" s="2" t="s">
        <v>21</v>
      </c>
      <c r="L125" s="2" t="s">
        <v>22</v>
      </c>
      <c r="M125" t="str">
        <f t="shared" si="8"/>
        <v>Mon 13 Dec 2021 1:03 pm IST</v>
      </c>
      <c r="N125" t="s">
        <v>940</v>
      </c>
      <c r="O125" s="7" t="str">
        <f t="shared" si="7"/>
        <v>Mon 13 Dec 2021 1:03 pm</v>
      </c>
      <c r="P125" s="7">
        <v>44543</v>
      </c>
      <c r="Q125" t="s">
        <v>896</v>
      </c>
      <c r="R125" s="11" t="s">
        <v>597</v>
      </c>
      <c r="S125" t="str">
        <f t="shared" si="9"/>
        <v>HYDERABAD</v>
      </c>
      <c r="T125" t="s">
        <v>993</v>
      </c>
      <c r="U125" t="s">
        <v>1051</v>
      </c>
      <c r="V125" s="25" t="s">
        <v>1072</v>
      </c>
      <c r="W125" s="25">
        <v>84.96</v>
      </c>
      <c r="X125" t="s">
        <v>1108</v>
      </c>
      <c r="Y125" t="s">
        <v>1110</v>
      </c>
      <c r="Z125" s="32" t="str">
        <f t="array" ref="Z125">IF(ISNUMBER(SEARCH("lipstick",G125)),"lipstick cases,","")&amp; IF(ISNUMBER(SEARCH("piggy",G125)),"Piggy coin bank ","")&amp;IF(ISNUMBER(SEARCH("Jewelry",G125)),"Jewelry box ","")&amp; IF(ISNUMBER(SEARCH("clutch",G125)),"Clutch purse,","")&amp; IF(ISNUMBER(SEARCH("wallet",G125)),"Wallet ","")&amp; IF(ISNUMBER(SEARCH("sling",G125)),"Sling bag ", "")&amp; IF(ISNUMBER(SEARCH("shoulder bag",G125)),"Shoulder bag,","")&amp; IF(ISNUMBER(SEARCH("Handbag",G125)),"Handbag","")</f>
        <v xml:space="preserve">Piggy coin bank </v>
      </c>
      <c r="AA125" t="s">
        <v>1135</v>
      </c>
    </row>
    <row r="126" spans="1:27" ht="15.6" x14ac:dyDescent="0.3">
      <c r="A126" s="2" t="s">
        <v>600</v>
      </c>
      <c r="B126" s="5" t="s">
        <v>601</v>
      </c>
      <c r="C126" s="2" t="s">
        <v>602</v>
      </c>
      <c r="D126" s="2" t="s">
        <v>603</v>
      </c>
      <c r="E126" s="2" t="s">
        <v>763</v>
      </c>
      <c r="F126" s="2" t="s">
        <v>224</v>
      </c>
      <c r="G126" s="2" t="s">
        <v>225</v>
      </c>
      <c r="H126" s="20">
        <v>1</v>
      </c>
      <c r="I126" s="13">
        <v>449</v>
      </c>
      <c r="J126" s="13">
        <v>84.96</v>
      </c>
      <c r="K126" s="2" t="s">
        <v>21</v>
      </c>
      <c r="L126" s="2" t="s">
        <v>22</v>
      </c>
      <c r="M126" t="str">
        <f t="shared" si="8"/>
        <v>Wed 2 Feb 2022 11:58 am IST</v>
      </c>
      <c r="N126" t="s">
        <v>937</v>
      </c>
      <c r="O126" s="7" t="str">
        <f t="shared" si="7"/>
        <v>Wed 2 Feb 2022 11:58 am</v>
      </c>
      <c r="P126" s="7">
        <v>44594</v>
      </c>
      <c r="Q126" t="s">
        <v>897</v>
      </c>
      <c r="R126" s="11" t="s">
        <v>965</v>
      </c>
      <c r="S126" t="str">
        <f t="shared" si="9"/>
        <v>INDORE</v>
      </c>
      <c r="T126" t="s">
        <v>1036</v>
      </c>
      <c r="U126" t="s">
        <v>1068</v>
      </c>
      <c r="V126" s="25" t="s">
        <v>1072</v>
      </c>
      <c r="W126" s="25">
        <v>84.96</v>
      </c>
      <c r="X126" t="s">
        <v>1108</v>
      </c>
      <c r="Y126" t="s">
        <v>1110</v>
      </c>
      <c r="Z126" s="32" t="str">
        <f t="array" ref="Z126">IF(ISNUMBER(SEARCH("lipstick",G126)),"lipstick cases,","")&amp; IF(ISNUMBER(SEARCH("piggy",G126)),"Piggy coin bank ","")&amp;IF(ISNUMBER(SEARCH("Jewelry",G126)),"Jewelry box ","")&amp; IF(ISNUMBER(SEARCH("clutch",G126)),"Clutch purse,","")&amp; IF(ISNUMBER(SEARCH("wallet",G126)),"Wallet ","")&amp; IF(ISNUMBER(SEARCH("sling",G126)),"Sling bag ", "")&amp; IF(ISNUMBER(SEARCH("shoulder bag",G126)),"Shoulder bag,","")&amp; IF(ISNUMBER(SEARCH("Handbag",G126)),"Handbag","")</f>
        <v xml:space="preserve">Piggy coin bank </v>
      </c>
      <c r="AA126" t="s">
        <v>1133</v>
      </c>
    </row>
    <row r="127" spans="1:27" ht="15.6" x14ac:dyDescent="0.3">
      <c r="A127" s="2" t="s">
        <v>604</v>
      </c>
      <c r="B127" s="5" t="s">
        <v>605</v>
      </c>
      <c r="C127" s="2" t="s">
        <v>606</v>
      </c>
      <c r="D127" s="2" t="s">
        <v>607</v>
      </c>
      <c r="E127" s="2" t="s">
        <v>173</v>
      </c>
      <c r="F127" s="2" t="s">
        <v>289</v>
      </c>
      <c r="G127" s="2" t="s">
        <v>290</v>
      </c>
      <c r="H127" s="20">
        <v>1</v>
      </c>
      <c r="I127" s="13">
        <v>399</v>
      </c>
      <c r="J127" s="13">
        <v>84.96</v>
      </c>
      <c r="K127" s="2" t="s">
        <v>21</v>
      </c>
      <c r="L127" s="2" t="s">
        <v>22</v>
      </c>
      <c r="M127" t="str">
        <f t="shared" si="8"/>
        <v>Sat 4 Dec 2021 2:28 pm IST</v>
      </c>
      <c r="N127" t="s">
        <v>939</v>
      </c>
      <c r="O127" s="7" t="str">
        <f t="shared" si="7"/>
        <v>Sat 4 Dec 2021 2:28 pm</v>
      </c>
      <c r="P127" s="7">
        <v>44534</v>
      </c>
      <c r="Q127" t="s">
        <v>898</v>
      </c>
      <c r="R127" s="11" t="s">
        <v>606</v>
      </c>
      <c r="S127" t="str">
        <f t="shared" si="9"/>
        <v>Visakhapatnam</v>
      </c>
      <c r="T127" t="s">
        <v>998</v>
      </c>
      <c r="U127" t="s">
        <v>736</v>
      </c>
      <c r="V127" s="25" t="s">
        <v>1074</v>
      </c>
      <c r="W127" s="25">
        <v>84.96</v>
      </c>
      <c r="X127" t="s">
        <v>1108</v>
      </c>
      <c r="Y127" t="s">
        <v>1110</v>
      </c>
      <c r="Z127" s="32" t="str">
        <f t="array" ref="Z127">IF(ISNUMBER(SEARCH("lipstick",G127)),"lipstick cases,","")&amp; IF(ISNUMBER(SEARCH("piggy",G127)),"Piggy coin bank ","")&amp;IF(ISNUMBER(SEARCH("Jewelry",G127)),"Jewelry box ","")&amp; IF(ISNUMBER(SEARCH("clutch",G127)),"Clutch purse,","")&amp; IF(ISNUMBER(SEARCH("wallet",G127)),"Wallet ","")&amp; IF(ISNUMBER(SEARCH("sling",G127)),"Sling bag ", "")&amp; IF(ISNUMBER(SEARCH("shoulder bag",G127)),"Shoulder bag,","")&amp; IF(ISNUMBER(SEARCH("Handbag",G127)),"Handbag","")</f>
        <v xml:space="preserve">Clutch purse,Wallet </v>
      </c>
      <c r="AA127" t="s">
        <v>1135</v>
      </c>
    </row>
    <row r="128" spans="1:27" ht="15.6" x14ac:dyDescent="0.3">
      <c r="A128" s="2" t="s">
        <v>608</v>
      </c>
      <c r="B128" s="5" t="s">
        <v>609</v>
      </c>
      <c r="C128" s="2" t="s">
        <v>610</v>
      </c>
      <c r="D128" s="2" t="s">
        <v>76</v>
      </c>
      <c r="E128" s="2" t="s">
        <v>77</v>
      </c>
      <c r="F128" s="2" t="s">
        <v>593</v>
      </c>
      <c r="G128" s="2" t="s">
        <v>594</v>
      </c>
      <c r="H128" s="20">
        <v>1</v>
      </c>
      <c r="I128" s="13">
        <v>349</v>
      </c>
      <c r="J128" s="13">
        <v>84.96</v>
      </c>
      <c r="K128" s="2" t="s">
        <v>21</v>
      </c>
      <c r="L128" s="2" t="s">
        <v>22</v>
      </c>
      <c r="M128" t="str">
        <f t="shared" si="8"/>
        <v>Wed 29 Dec 2021 1:03 pm IST</v>
      </c>
      <c r="N128" t="s">
        <v>937</v>
      </c>
      <c r="O128" s="7" t="str">
        <f t="shared" si="7"/>
        <v>Wed 29 Dec 2021 1:03 pm</v>
      </c>
      <c r="P128" s="7">
        <v>44559</v>
      </c>
      <c r="Q128" t="s">
        <v>896</v>
      </c>
      <c r="R128" s="11" t="s">
        <v>610</v>
      </c>
      <c r="S128" t="str">
        <f t="shared" si="9"/>
        <v>BENGALURU</v>
      </c>
      <c r="T128" t="s">
        <v>984</v>
      </c>
      <c r="U128" t="s">
        <v>1054</v>
      </c>
      <c r="V128" s="25" t="s">
        <v>1079</v>
      </c>
      <c r="W128" s="25">
        <v>84.96</v>
      </c>
      <c r="X128" t="s">
        <v>1108</v>
      </c>
      <c r="Y128" t="s">
        <v>1110</v>
      </c>
      <c r="Z128" s="32" t="str">
        <f t="array" ref="Z128">IF(ISNUMBER(SEARCH("lipstick",G128)),"lipstick cases,","")&amp; IF(ISNUMBER(SEARCH("piggy",G128)),"Piggy coin bank ","")&amp;IF(ISNUMBER(SEARCH("Jewelry",G128)),"Jewelry box ","")&amp; IF(ISNUMBER(SEARCH("clutch",G128)),"Clutch purse,","")&amp; IF(ISNUMBER(SEARCH("wallet",G128)),"Wallet ","")&amp; IF(ISNUMBER(SEARCH("sling",G128)),"Sling bag ", "")&amp; IF(ISNUMBER(SEARCH("shoulder bag",G128)),"Shoulder bag,","")&amp; IF(ISNUMBER(SEARCH("Handbag",G128)),"Handbag","")</f>
        <v xml:space="preserve">Piggy coin bank </v>
      </c>
      <c r="AA128" t="s">
        <v>1135</v>
      </c>
    </row>
    <row r="129" spans="1:27" ht="15.6" x14ac:dyDescent="0.3">
      <c r="A129" s="2" t="s">
        <v>611</v>
      </c>
      <c r="B129" s="5" t="s">
        <v>612</v>
      </c>
      <c r="C129" s="2" t="s">
        <v>107</v>
      </c>
      <c r="D129" s="2" t="s">
        <v>182</v>
      </c>
      <c r="E129" s="2" t="s">
        <v>183</v>
      </c>
      <c r="F129" s="2" t="s">
        <v>103</v>
      </c>
      <c r="G129" s="2" t="s">
        <v>104</v>
      </c>
      <c r="H129" s="20">
        <v>1</v>
      </c>
      <c r="I129" s="13">
        <v>449</v>
      </c>
      <c r="J129" s="13">
        <v>84.96</v>
      </c>
      <c r="K129" s="2" t="s">
        <v>21</v>
      </c>
      <c r="L129" s="2" t="s">
        <v>22</v>
      </c>
      <c r="M129" t="str">
        <f t="shared" si="8"/>
        <v>Tue 11 Jan 2022 1:46 pm IST</v>
      </c>
      <c r="N129" t="s">
        <v>936</v>
      </c>
      <c r="O129" s="7" t="str">
        <f t="shared" si="7"/>
        <v>Tue 11 Jan 2022 1:46 pm</v>
      </c>
      <c r="P129" s="7">
        <v>44572</v>
      </c>
      <c r="Q129" t="s">
        <v>899</v>
      </c>
      <c r="R129" s="11" t="s">
        <v>107</v>
      </c>
      <c r="S129" t="str">
        <f t="shared" si="9"/>
        <v>NEW DELHI</v>
      </c>
      <c r="T129" t="s">
        <v>999</v>
      </c>
      <c r="U129" t="s">
        <v>1059</v>
      </c>
      <c r="V129" s="25" t="s">
        <v>1072</v>
      </c>
      <c r="W129" s="25">
        <v>84.96</v>
      </c>
      <c r="X129" t="s">
        <v>1108</v>
      </c>
      <c r="Y129" t="s">
        <v>1110</v>
      </c>
      <c r="Z129" s="32" t="str">
        <f t="array" ref="Z129">IF(ISNUMBER(SEARCH("lipstick",G129)),"lipstick cases,","")&amp; IF(ISNUMBER(SEARCH("piggy",G129)),"Piggy coin bank ","")&amp;IF(ISNUMBER(SEARCH("Jewelry",G129)),"Jewelry box ","")&amp; IF(ISNUMBER(SEARCH("clutch",G129)),"Clutch purse,","")&amp; IF(ISNUMBER(SEARCH("wallet",G129)),"Wallet ","")&amp; IF(ISNUMBER(SEARCH("sling",G129)),"Sling bag ", "")&amp; IF(ISNUMBER(SEARCH("shoulder bag",G129)),"Shoulder bag,","")&amp; IF(ISNUMBER(SEARCH("Handbag",G129)),"Handbag","")</f>
        <v xml:space="preserve">Piggy coin bank </v>
      </c>
      <c r="AA129" t="s">
        <v>1134</v>
      </c>
    </row>
    <row r="130" spans="1:27" ht="15.6" x14ac:dyDescent="0.3">
      <c r="A130" s="2" t="s">
        <v>613</v>
      </c>
      <c r="B130" s="5" t="s">
        <v>614</v>
      </c>
      <c r="C130" s="2" t="s">
        <v>615</v>
      </c>
      <c r="D130" s="2" t="s">
        <v>76</v>
      </c>
      <c r="E130" s="2" t="s">
        <v>77</v>
      </c>
      <c r="F130" s="2" t="s">
        <v>616</v>
      </c>
      <c r="G130" s="2" t="s">
        <v>617</v>
      </c>
      <c r="H130" s="20">
        <v>1</v>
      </c>
      <c r="I130" s="13">
        <v>899</v>
      </c>
      <c r="J130" s="13">
        <v>114.46</v>
      </c>
      <c r="K130" s="2" t="s">
        <v>21</v>
      </c>
      <c r="L130" s="2" t="s">
        <v>22</v>
      </c>
      <c r="M130" t="str">
        <f t="shared" ref="M130:M161" si="10">SUBSTITUTE(B130,",","")</f>
        <v>Mon 6 Dec 2021 10:25 pm IST</v>
      </c>
      <c r="N130" t="s">
        <v>940</v>
      </c>
      <c r="O130" s="7" t="str">
        <f t="shared" si="7"/>
        <v>Mon 6 Dec 2021 10:25 pm</v>
      </c>
      <c r="P130" s="7">
        <v>44536</v>
      </c>
      <c r="Q130" t="s">
        <v>900</v>
      </c>
      <c r="R130" s="11" t="s">
        <v>615</v>
      </c>
      <c r="S130" t="str">
        <f t="shared" ref="S130:S161" si="11">SUBSTITUTE(D130,",","")</f>
        <v>BENGALURU</v>
      </c>
      <c r="T130" t="s">
        <v>984</v>
      </c>
      <c r="U130" t="s">
        <v>1054</v>
      </c>
      <c r="V130" s="25" t="s">
        <v>1086</v>
      </c>
      <c r="W130" s="25">
        <v>114.46</v>
      </c>
      <c r="X130" t="s">
        <v>1108</v>
      </c>
      <c r="Y130" t="s">
        <v>1110</v>
      </c>
      <c r="Z130" s="32" t="str">
        <f t="array" ref="Z130">IF(ISNUMBER(SEARCH("lipstick",G130)),"lipstick cases,","")&amp; IF(ISNUMBER(SEARCH("piggy",G130)),"Piggy coin bank ","")&amp;IF(ISNUMBER(SEARCH("Jewelry",G130)),"Jewelry box ","")&amp; IF(ISNUMBER(SEARCH("clutch",G130)),"Clutch purse,","")&amp; IF(ISNUMBER(SEARCH("wallet",G130)),"Wallet ","")&amp; IF(ISNUMBER(SEARCH("sling",G130)),"Sling bag ", "")&amp; IF(ISNUMBER(SEARCH("shoulder bag",G130)),"Shoulder bag,","")&amp; IF(ISNUMBER(SEARCH("Handbag",G130)),"Handbag","")</f>
        <v>Handbag</v>
      </c>
      <c r="AA130" t="s">
        <v>1135</v>
      </c>
    </row>
    <row r="131" spans="1:27" ht="15.6" x14ac:dyDescent="0.3">
      <c r="A131" s="2" t="s">
        <v>619</v>
      </c>
      <c r="B131" s="5" t="s">
        <v>620</v>
      </c>
      <c r="C131" s="2" t="s">
        <v>219</v>
      </c>
      <c r="D131" s="2" t="s">
        <v>220</v>
      </c>
      <c r="E131" s="2" t="s">
        <v>102</v>
      </c>
      <c r="F131" s="2" t="s">
        <v>78</v>
      </c>
      <c r="G131" s="2" t="s">
        <v>621</v>
      </c>
      <c r="H131" s="20">
        <v>1</v>
      </c>
      <c r="I131" s="13">
        <v>475</v>
      </c>
      <c r="J131" s="13">
        <v>84.96</v>
      </c>
      <c r="K131" s="2" t="s">
        <v>21</v>
      </c>
      <c r="L131" s="2" t="s">
        <v>22</v>
      </c>
      <c r="M131" t="str">
        <f t="shared" si="10"/>
        <v>Thu 20 Jan 2022 11:49 am IST</v>
      </c>
      <c r="N131" t="s">
        <v>938</v>
      </c>
      <c r="O131" s="7" t="str">
        <f t="shared" ref="O131:O172" si="12">SUBSTITUTE(M131," IST","")</f>
        <v>Thu 20 Jan 2022 11:49 am</v>
      </c>
      <c r="P131" s="7">
        <v>44581</v>
      </c>
      <c r="Q131" t="s">
        <v>901</v>
      </c>
      <c r="R131" s="11" t="s">
        <v>950</v>
      </c>
      <c r="S131" t="str">
        <f t="shared" si="11"/>
        <v>SALEM</v>
      </c>
      <c r="T131" t="s">
        <v>1003</v>
      </c>
      <c r="U131" t="s">
        <v>1058</v>
      </c>
      <c r="V131" s="25" t="s">
        <v>1083</v>
      </c>
      <c r="W131" s="25">
        <v>84.96</v>
      </c>
      <c r="X131" t="s">
        <v>1108</v>
      </c>
      <c r="Y131" t="s">
        <v>1110</v>
      </c>
      <c r="Z131" s="32" t="str">
        <f t="array" ref="Z131">IF(ISNUMBER(SEARCH("lipstick",G131)),"lipstick cases,","")&amp; IF(ISNUMBER(SEARCH("piggy",G131)),"Piggy coin bank ","")&amp;IF(ISNUMBER(SEARCH("Jewelry",G131)),"Jewelry box ","")&amp; IF(ISNUMBER(SEARCH("clutch",G131)),"Clutch purse,","")&amp; IF(ISNUMBER(SEARCH("wallet",G131)),"Wallet ","")&amp; IF(ISNUMBER(SEARCH("sling",G131)),"Sling bag ", "")&amp; IF(ISNUMBER(SEARCH("shoulder bag",G131)),"Shoulder bag,","")&amp; IF(ISNUMBER(SEARCH("Handbag",G131)),"Handbag","")</f>
        <v xml:space="preserve">Jewelry box </v>
      </c>
      <c r="AA131" t="s">
        <v>1134</v>
      </c>
    </row>
    <row r="132" spans="1:27" ht="15.6" x14ac:dyDescent="0.3">
      <c r="A132" s="2" t="s">
        <v>622</v>
      </c>
      <c r="B132" s="5" t="s">
        <v>623</v>
      </c>
      <c r="C132" s="2" t="s">
        <v>494</v>
      </c>
      <c r="D132" s="2" t="s">
        <v>76</v>
      </c>
      <c r="E132" s="2" t="s">
        <v>77</v>
      </c>
      <c r="F132" s="2" t="s">
        <v>433</v>
      </c>
      <c r="G132" s="2" t="s">
        <v>434</v>
      </c>
      <c r="H132" s="20">
        <v>1</v>
      </c>
      <c r="I132" s="13">
        <v>549</v>
      </c>
      <c r="J132" s="13">
        <v>84.96</v>
      </c>
      <c r="K132" s="2" t="s">
        <v>21</v>
      </c>
      <c r="L132" s="2" t="s">
        <v>22</v>
      </c>
      <c r="M132" t="str">
        <f t="shared" si="10"/>
        <v>Sat 4 Dec 2021 10:32 pm IST</v>
      </c>
      <c r="N132" t="s">
        <v>939</v>
      </c>
      <c r="O132" s="7" t="str">
        <f t="shared" si="12"/>
        <v>Sat 4 Dec 2021 10:32 pm</v>
      </c>
      <c r="P132" s="7">
        <v>44534</v>
      </c>
      <c r="Q132" t="s">
        <v>902</v>
      </c>
      <c r="R132" s="11" t="s">
        <v>960</v>
      </c>
      <c r="S132" t="str">
        <f t="shared" si="11"/>
        <v>BENGALURU</v>
      </c>
      <c r="T132" t="s">
        <v>984</v>
      </c>
      <c r="U132" t="s">
        <v>1054</v>
      </c>
      <c r="V132" s="25" t="s">
        <v>1077</v>
      </c>
      <c r="W132" s="25">
        <v>84.96</v>
      </c>
      <c r="X132" t="s">
        <v>1108</v>
      </c>
      <c r="Y132" t="s">
        <v>1110</v>
      </c>
      <c r="Z132" s="32" t="str">
        <f t="array" ref="Z132">IF(ISNUMBER(SEARCH("lipstick",G132)),"lipstick cases,","")&amp; IF(ISNUMBER(SEARCH("piggy",G132)),"Piggy coin bank ","")&amp;IF(ISNUMBER(SEARCH("Jewelry",G132)),"Jewelry box ","")&amp; IF(ISNUMBER(SEARCH("clutch",G132)),"Clutch purse,","")&amp; IF(ISNUMBER(SEARCH("wallet",G132)),"Wallet ","")&amp; IF(ISNUMBER(SEARCH("sling",G132)),"Sling bag ", "")&amp; IF(ISNUMBER(SEARCH("shoulder bag",G132)),"Shoulder bag,","")&amp; IF(ISNUMBER(SEARCH("Handbag",G132)),"Handbag","")</f>
        <v xml:space="preserve">Piggy coin bank </v>
      </c>
      <c r="AA132" t="s">
        <v>1135</v>
      </c>
    </row>
    <row r="133" spans="1:27" ht="15.6" x14ac:dyDescent="0.3">
      <c r="A133" s="2" t="s">
        <v>624</v>
      </c>
      <c r="B133" s="5" t="s">
        <v>625</v>
      </c>
      <c r="C133" s="2" t="s">
        <v>155</v>
      </c>
      <c r="D133" s="2" t="s">
        <v>156</v>
      </c>
      <c r="E133" s="2" t="s">
        <v>91</v>
      </c>
      <c r="F133" s="2" t="s">
        <v>28</v>
      </c>
      <c r="G133" s="2" t="s">
        <v>29</v>
      </c>
      <c r="H133" s="20">
        <v>1</v>
      </c>
      <c r="I133" s="13">
        <v>449</v>
      </c>
      <c r="J133" s="13">
        <v>84.96</v>
      </c>
      <c r="K133" s="2" t="s">
        <v>21</v>
      </c>
      <c r="L133" s="2" t="s">
        <v>22</v>
      </c>
      <c r="M133" t="str">
        <f t="shared" si="10"/>
        <v>Wed 8 Dec 2021 12:15 am IST</v>
      </c>
      <c r="N133" t="s">
        <v>937</v>
      </c>
      <c r="O133" s="7" t="str">
        <f t="shared" si="12"/>
        <v>Wed 8 Dec 2021 12:15 am</v>
      </c>
      <c r="P133" s="7">
        <v>44538</v>
      </c>
      <c r="Q133" t="s">
        <v>903</v>
      </c>
      <c r="R133" s="11" t="s">
        <v>155</v>
      </c>
      <c r="S133" t="str">
        <f t="shared" si="11"/>
        <v>GURUGRAM</v>
      </c>
      <c r="T133" t="s">
        <v>996</v>
      </c>
      <c r="U133" t="s">
        <v>1056</v>
      </c>
      <c r="V133" s="25" t="s">
        <v>1072</v>
      </c>
      <c r="W133" s="25">
        <v>84.96</v>
      </c>
      <c r="X133" t="s">
        <v>1108</v>
      </c>
      <c r="Y133" t="s">
        <v>1110</v>
      </c>
      <c r="Z133" s="32" t="str">
        <f t="array" ref="Z133">IF(ISNUMBER(SEARCH("lipstick",G133)),"lipstick cases,","")&amp; IF(ISNUMBER(SEARCH("piggy",G133)),"Piggy coin bank ","")&amp;IF(ISNUMBER(SEARCH("Jewelry",G133)),"Jewelry box ","")&amp; IF(ISNUMBER(SEARCH("clutch",G133)),"Clutch purse,","")&amp; IF(ISNUMBER(SEARCH("wallet",G133)),"Wallet ","")&amp; IF(ISNUMBER(SEARCH("sling",G133)),"Sling bag ", "")&amp; IF(ISNUMBER(SEARCH("shoulder bag",G133)),"Shoulder bag,","")&amp; IF(ISNUMBER(SEARCH("Handbag",G133)),"Handbag","")</f>
        <v xml:space="preserve">lipstick cases,Jewelry box </v>
      </c>
      <c r="AA133" t="s">
        <v>1135</v>
      </c>
    </row>
    <row r="134" spans="1:27" ht="15.6" x14ac:dyDescent="0.3">
      <c r="A134" s="2" t="s">
        <v>626</v>
      </c>
      <c r="B134" s="5" t="s">
        <v>627</v>
      </c>
      <c r="C134" s="2" t="s">
        <v>628</v>
      </c>
      <c r="D134" s="2" t="s">
        <v>402</v>
      </c>
      <c r="E134" s="2" t="s">
        <v>102</v>
      </c>
      <c r="F134" s="2" t="s">
        <v>146</v>
      </c>
      <c r="G134" s="2" t="s">
        <v>147</v>
      </c>
      <c r="H134" s="20">
        <v>1</v>
      </c>
      <c r="I134" s="13">
        <v>399</v>
      </c>
      <c r="J134" s="13">
        <v>84.96</v>
      </c>
      <c r="K134" s="2" t="s">
        <v>21</v>
      </c>
      <c r="L134" s="2" t="s">
        <v>22</v>
      </c>
      <c r="M134" t="str">
        <f t="shared" si="10"/>
        <v>Wed 1 Dec 2021 12:58 pm IST</v>
      </c>
      <c r="N134" t="s">
        <v>937</v>
      </c>
      <c r="O134" s="7" t="str">
        <f t="shared" si="12"/>
        <v>Wed 1 Dec 2021 12:58 pm</v>
      </c>
      <c r="P134" s="7">
        <v>44531</v>
      </c>
      <c r="Q134" t="s">
        <v>904</v>
      </c>
      <c r="R134" s="11" t="s">
        <v>966</v>
      </c>
      <c r="S134" t="str">
        <f t="shared" si="11"/>
        <v>CHENNAI</v>
      </c>
      <c r="T134" t="s">
        <v>1021</v>
      </c>
      <c r="U134" t="s">
        <v>1058</v>
      </c>
      <c r="V134" s="25" t="s">
        <v>1074</v>
      </c>
      <c r="W134" s="25">
        <v>84.96</v>
      </c>
      <c r="X134" t="s">
        <v>1108</v>
      </c>
      <c r="Y134" t="s">
        <v>1110</v>
      </c>
      <c r="Z134" s="32" t="str">
        <f t="array" ref="Z134">IF(ISNUMBER(SEARCH("lipstick",G134)),"lipstick cases,","")&amp; IF(ISNUMBER(SEARCH("piggy",G134)),"Piggy coin bank ","")&amp;IF(ISNUMBER(SEARCH("Jewelry",G134)),"Jewelry box ","")&amp; IF(ISNUMBER(SEARCH("clutch",G134)),"Clutch purse,","")&amp; IF(ISNUMBER(SEARCH("wallet",G134)),"Wallet ","")&amp; IF(ISNUMBER(SEARCH("sling",G134)),"Sling bag ", "")&amp; IF(ISNUMBER(SEARCH("shoulder bag",G134)),"Shoulder bag,","")&amp; IF(ISNUMBER(SEARCH("Handbag",G134)),"Handbag","")</f>
        <v xml:space="preserve">Clutch purse,Wallet </v>
      </c>
      <c r="AA134" t="s">
        <v>1135</v>
      </c>
    </row>
    <row r="135" spans="1:27" ht="15.6" x14ac:dyDescent="0.3">
      <c r="A135" s="2" t="s">
        <v>629</v>
      </c>
      <c r="B135" s="5" t="s">
        <v>630</v>
      </c>
      <c r="C135" s="2" t="s">
        <v>631</v>
      </c>
      <c r="D135" s="2" t="s">
        <v>632</v>
      </c>
      <c r="E135" s="2" t="s">
        <v>62</v>
      </c>
      <c r="F135" s="2" t="s">
        <v>633</v>
      </c>
      <c r="G135" s="2" t="s">
        <v>458</v>
      </c>
      <c r="H135" s="20">
        <v>1</v>
      </c>
      <c r="I135" s="13">
        <v>449</v>
      </c>
      <c r="J135" s="13">
        <v>84.96</v>
      </c>
      <c r="K135" s="2" t="s">
        <v>21</v>
      </c>
      <c r="L135" s="2" t="s">
        <v>22</v>
      </c>
      <c r="M135" t="str">
        <f t="shared" si="10"/>
        <v>Mon 14 Feb 2022 7:12 pm IST</v>
      </c>
      <c r="N135" t="s">
        <v>940</v>
      </c>
      <c r="O135" s="7" t="str">
        <f t="shared" si="12"/>
        <v>Mon 14 Feb 2022 7:12 pm</v>
      </c>
      <c r="P135" s="7">
        <v>44606</v>
      </c>
      <c r="Q135" t="s">
        <v>892</v>
      </c>
      <c r="R135" s="11" t="s">
        <v>631</v>
      </c>
      <c r="S135" t="str">
        <f t="shared" si="11"/>
        <v>GHAZIABAD</v>
      </c>
      <c r="T135" t="s">
        <v>1037</v>
      </c>
      <c r="U135" t="s">
        <v>1053</v>
      </c>
      <c r="V135" s="25" t="s">
        <v>1072</v>
      </c>
      <c r="W135" s="25">
        <v>84.96</v>
      </c>
      <c r="X135" t="s">
        <v>1108</v>
      </c>
      <c r="Y135" t="s">
        <v>1110</v>
      </c>
      <c r="Z135" s="32" t="str">
        <f t="array" ref="Z135">IF(ISNUMBER(SEARCH("lipstick",G135)),"lipstick cases,","")&amp; IF(ISNUMBER(SEARCH("piggy",G135)),"Piggy coin bank ","")&amp;IF(ISNUMBER(SEARCH("Jewelry",G135)),"Jewelry box ","")&amp; IF(ISNUMBER(SEARCH("clutch",G135)),"Clutch purse,","")&amp; IF(ISNUMBER(SEARCH("wallet",G135)),"Wallet ","")&amp; IF(ISNUMBER(SEARCH("sling",G135)),"Sling bag ", "")&amp; IF(ISNUMBER(SEARCH("shoulder bag",G135)),"Shoulder bag,","")&amp; IF(ISNUMBER(SEARCH("Handbag",G135)),"Handbag","")</f>
        <v xml:space="preserve">Piggy coin bank </v>
      </c>
      <c r="AA135" t="s">
        <v>1133</v>
      </c>
    </row>
    <row r="136" spans="1:27" ht="15.6" x14ac:dyDescent="0.3">
      <c r="A136" s="2" t="s">
        <v>634</v>
      </c>
      <c r="B136" s="5" t="s">
        <v>635</v>
      </c>
      <c r="C136" s="2" t="s">
        <v>508</v>
      </c>
      <c r="D136" s="2" t="s">
        <v>509</v>
      </c>
      <c r="E136" s="2" t="s">
        <v>397</v>
      </c>
      <c r="F136" s="2" t="s">
        <v>28</v>
      </c>
      <c r="G136" s="2" t="s">
        <v>29</v>
      </c>
      <c r="H136" s="20">
        <v>1</v>
      </c>
      <c r="I136" s="9" t="s">
        <v>21</v>
      </c>
      <c r="J136" s="13">
        <v>84.96</v>
      </c>
      <c r="K136" s="2" t="s">
        <v>21</v>
      </c>
      <c r="L136" s="2" t="s">
        <v>65</v>
      </c>
      <c r="M136" t="str">
        <f t="shared" si="10"/>
        <v>Tue 25 Jan 2022 11:32 am IST</v>
      </c>
      <c r="N136" t="s">
        <v>936</v>
      </c>
      <c r="O136" s="7" t="str">
        <f t="shared" si="12"/>
        <v>Tue 25 Jan 2022 11:32 am</v>
      </c>
      <c r="P136" s="7">
        <v>44586</v>
      </c>
      <c r="Q136" t="s">
        <v>858</v>
      </c>
      <c r="R136" s="11" t="s">
        <v>508</v>
      </c>
      <c r="S136" t="str">
        <f t="shared" si="11"/>
        <v>JODHPUR</v>
      </c>
      <c r="T136" t="s">
        <v>1028</v>
      </c>
      <c r="U136" t="s">
        <v>1065</v>
      </c>
      <c r="V136" s="25" t="s">
        <v>21</v>
      </c>
      <c r="W136" s="25">
        <v>84.96</v>
      </c>
      <c r="X136" t="s">
        <v>1108</v>
      </c>
      <c r="Y136" t="s">
        <v>1111</v>
      </c>
      <c r="Z136" s="32" t="str">
        <f t="array" ref="Z136">IF(ISNUMBER(SEARCH("lipstick",G136)),"lipstick cases,","")&amp; IF(ISNUMBER(SEARCH("piggy",G136)),"Piggy coin bank ","")&amp;IF(ISNUMBER(SEARCH("Jewelry",G136)),"Jewelry box ","")&amp; IF(ISNUMBER(SEARCH("clutch",G136)),"Clutch purse,","")&amp; IF(ISNUMBER(SEARCH("wallet",G136)),"Wallet ","")&amp; IF(ISNUMBER(SEARCH("sling",G136)),"Sling bag ", "")&amp; IF(ISNUMBER(SEARCH("shoulder bag",G136)),"Shoulder bag,","")&amp; IF(ISNUMBER(SEARCH("Handbag",G136)),"Handbag","")</f>
        <v xml:space="preserve">lipstick cases,Jewelry box </v>
      </c>
      <c r="AA136" t="s">
        <v>1134</v>
      </c>
    </row>
    <row r="137" spans="1:27" ht="15.6" x14ac:dyDescent="0.3">
      <c r="A137" s="2" t="s">
        <v>636</v>
      </c>
      <c r="B137" s="5" t="s">
        <v>637</v>
      </c>
      <c r="C137" s="2" t="s">
        <v>638</v>
      </c>
      <c r="D137" s="2" t="s">
        <v>44</v>
      </c>
      <c r="E137" s="2" t="s">
        <v>45</v>
      </c>
      <c r="F137" s="2" t="s">
        <v>28</v>
      </c>
      <c r="G137" s="2" t="s">
        <v>29</v>
      </c>
      <c r="H137" s="20">
        <v>1</v>
      </c>
      <c r="I137" s="13">
        <v>449</v>
      </c>
      <c r="J137" s="13">
        <v>84.96</v>
      </c>
      <c r="K137" s="2" t="s">
        <v>40</v>
      </c>
      <c r="L137" s="2" t="s">
        <v>22</v>
      </c>
      <c r="M137" t="str">
        <f t="shared" si="10"/>
        <v>Fri 10 Dec 2021 5:53 pm IST</v>
      </c>
      <c r="N137" t="s">
        <v>941</v>
      </c>
      <c r="O137" s="7" t="str">
        <f t="shared" si="12"/>
        <v>Fri 10 Dec 2021 5:53 pm</v>
      </c>
      <c r="P137" s="7">
        <v>44540</v>
      </c>
      <c r="Q137" t="s">
        <v>905</v>
      </c>
      <c r="R137" s="11" t="s">
        <v>638</v>
      </c>
      <c r="S137" t="str">
        <f t="shared" si="11"/>
        <v>MUMBAI</v>
      </c>
      <c r="T137" t="s">
        <v>980</v>
      </c>
      <c r="U137" t="s">
        <v>339</v>
      </c>
      <c r="V137" s="25" t="s">
        <v>1072</v>
      </c>
      <c r="W137" s="25">
        <v>84.96</v>
      </c>
      <c r="X137" t="s">
        <v>1109</v>
      </c>
      <c r="Y137" t="s">
        <v>1110</v>
      </c>
      <c r="Z137" s="32" t="str">
        <f t="array" ref="Z137">IF(ISNUMBER(SEARCH("lipstick",G137)),"lipstick cases,","")&amp; IF(ISNUMBER(SEARCH("piggy",G137)),"Piggy coin bank ","")&amp;IF(ISNUMBER(SEARCH("Jewelry",G137)),"Jewelry box ","")&amp; IF(ISNUMBER(SEARCH("clutch",G137)),"Clutch purse,","")&amp; IF(ISNUMBER(SEARCH("wallet",G137)),"Wallet ","")&amp; IF(ISNUMBER(SEARCH("sling",G137)),"Sling bag ", "")&amp; IF(ISNUMBER(SEARCH("shoulder bag",G137)),"Shoulder bag,","")&amp; IF(ISNUMBER(SEARCH("Handbag",G137)),"Handbag","")</f>
        <v xml:space="preserve">lipstick cases,Jewelry box </v>
      </c>
      <c r="AA137" t="s">
        <v>1135</v>
      </c>
    </row>
    <row r="138" spans="1:27" ht="15.6" x14ac:dyDescent="0.3">
      <c r="A138" s="2" t="s">
        <v>639</v>
      </c>
      <c r="B138" s="5" t="s">
        <v>640</v>
      </c>
      <c r="C138" s="2" t="s">
        <v>641</v>
      </c>
      <c r="D138" s="2" t="s">
        <v>108</v>
      </c>
      <c r="E138" s="2" t="s">
        <v>45</v>
      </c>
      <c r="F138" s="2" t="s">
        <v>28</v>
      </c>
      <c r="G138" s="2" t="s">
        <v>29</v>
      </c>
      <c r="H138" s="20">
        <v>4</v>
      </c>
      <c r="I138" s="13">
        <v>1796</v>
      </c>
      <c r="J138" s="13">
        <v>84.96</v>
      </c>
      <c r="K138" s="2" t="s">
        <v>21</v>
      </c>
      <c r="L138" s="2" t="s">
        <v>22</v>
      </c>
      <c r="M138" t="str">
        <f t="shared" si="10"/>
        <v>Fri 10 Dec 2021 11:38 am IST</v>
      </c>
      <c r="N138" t="s">
        <v>941</v>
      </c>
      <c r="O138" s="7" t="str">
        <f t="shared" si="12"/>
        <v>Fri 10 Dec 2021 11:38 am</v>
      </c>
      <c r="P138" s="7">
        <v>44540</v>
      </c>
      <c r="Q138" t="s">
        <v>820</v>
      </c>
      <c r="R138" s="11" t="s">
        <v>641</v>
      </c>
      <c r="S138" t="str">
        <f t="shared" si="11"/>
        <v>PUNE</v>
      </c>
      <c r="T138" t="s">
        <v>989</v>
      </c>
      <c r="U138" t="s">
        <v>339</v>
      </c>
      <c r="V138" s="25" t="s">
        <v>1087</v>
      </c>
      <c r="W138" s="25">
        <v>84.96</v>
      </c>
      <c r="X138" t="s">
        <v>1108</v>
      </c>
      <c r="Y138" t="s">
        <v>1110</v>
      </c>
      <c r="Z138" s="32" t="str">
        <f t="array" ref="Z138">IF(ISNUMBER(SEARCH("lipstick",G138)),"lipstick cases,","")&amp; IF(ISNUMBER(SEARCH("piggy",G138)),"Piggy coin bank ","")&amp;IF(ISNUMBER(SEARCH("Jewelry",G138)),"Jewelry box ","")&amp; IF(ISNUMBER(SEARCH("clutch",G138)),"Clutch purse,","")&amp; IF(ISNUMBER(SEARCH("wallet",G138)),"Wallet ","")&amp; IF(ISNUMBER(SEARCH("sling",G138)),"Sling bag ", "")&amp; IF(ISNUMBER(SEARCH("shoulder bag",G138)),"Shoulder bag,","")&amp; IF(ISNUMBER(SEARCH("Handbag",G138)),"Handbag","")</f>
        <v xml:space="preserve">lipstick cases,Jewelry box </v>
      </c>
      <c r="AA138" t="s">
        <v>1135</v>
      </c>
    </row>
    <row r="139" spans="1:27" ht="15.6" x14ac:dyDescent="0.3">
      <c r="A139" s="2" t="s">
        <v>643</v>
      </c>
      <c r="B139" s="5" t="s">
        <v>644</v>
      </c>
      <c r="C139" s="2" t="s">
        <v>645</v>
      </c>
      <c r="D139" s="2" t="s">
        <v>531</v>
      </c>
      <c r="E139" s="2" t="s">
        <v>37</v>
      </c>
      <c r="F139" s="2" t="s">
        <v>224</v>
      </c>
      <c r="G139" s="2" t="s">
        <v>225</v>
      </c>
      <c r="H139" s="20">
        <v>1</v>
      </c>
      <c r="I139" s="13">
        <v>449</v>
      </c>
      <c r="J139" s="13">
        <v>84.96</v>
      </c>
      <c r="K139" s="2" t="s">
        <v>21</v>
      </c>
      <c r="L139" s="2" t="s">
        <v>22</v>
      </c>
      <c r="M139" t="str">
        <f t="shared" si="10"/>
        <v>Sun 2 Jan 2022 5:51 pm IST</v>
      </c>
      <c r="N139" t="s">
        <v>935</v>
      </c>
      <c r="O139" s="7" t="str">
        <f t="shared" si="12"/>
        <v>Sun 2 Jan 2022 5:51 pm</v>
      </c>
      <c r="P139" s="7">
        <v>44563</v>
      </c>
      <c r="Q139" t="s">
        <v>906</v>
      </c>
      <c r="R139" s="11" t="s">
        <v>967</v>
      </c>
      <c r="S139" t="str">
        <f t="shared" si="11"/>
        <v>SECUNDERABAD</v>
      </c>
      <c r="T139" t="s">
        <v>1031</v>
      </c>
      <c r="U139" t="s">
        <v>1051</v>
      </c>
      <c r="V139" s="25" t="s">
        <v>1072</v>
      </c>
      <c r="W139" s="25">
        <v>84.96</v>
      </c>
      <c r="X139" t="s">
        <v>1108</v>
      </c>
      <c r="Y139" t="s">
        <v>1110</v>
      </c>
      <c r="Z139" s="32" t="str">
        <f t="array" ref="Z139">IF(ISNUMBER(SEARCH("lipstick",G139)),"lipstick cases,","")&amp; IF(ISNUMBER(SEARCH("piggy",G139)),"Piggy coin bank ","")&amp;IF(ISNUMBER(SEARCH("Jewelry",G139)),"Jewelry box ","")&amp; IF(ISNUMBER(SEARCH("clutch",G139)),"Clutch purse,","")&amp; IF(ISNUMBER(SEARCH("wallet",G139)),"Wallet ","")&amp; IF(ISNUMBER(SEARCH("sling",G139)),"Sling bag ", "")&amp; IF(ISNUMBER(SEARCH("shoulder bag",G139)),"Shoulder bag,","")&amp; IF(ISNUMBER(SEARCH("Handbag",G139)),"Handbag","")</f>
        <v xml:space="preserve">Piggy coin bank </v>
      </c>
      <c r="AA139" t="s">
        <v>1134</v>
      </c>
    </row>
    <row r="140" spans="1:27" ht="15.6" x14ac:dyDescent="0.3">
      <c r="A140" s="2" t="s">
        <v>646</v>
      </c>
      <c r="B140" s="5" t="s">
        <v>647</v>
      </c>
      <c r="C140" s="2" t="s">
        <v>648</v>
      </c>
      <c r="D140" s="2" t="s">
        <v>76</v>
      </c>
      <c r="E140" s="2" t="s">
        <v>77</v>
      </c>
      <c r="F140" s="2" t="s">
        <v>633</v>
      </c>
      <c r="G140" s="2" t="s">
        <v>458</v>
      </c>
      <c r="H140" s="20">
        <v>1</v>
      </c>
      <c r="I140" s="13">
        <v>449</v>
      </c>
      <c r="J140" s="13">
        <v>84.96</v>
      </c>
      <c r="K140" s="2" t="s">
        <v>21</v>
      </c>
      <c r="L140" s="2" t="s">
        <v>22</v>
      </c>
      <c r="M140" t="str">
        <f t="shared" si="10"/>
        <v>Tue 30 Nov 2021 7:49 pm IST</v>
      </c>
      <c r="N140" t="s">
        <v>936</v>
      </c>
      <c r="O140" s="7" t="str">
        <f t="shared" si="12"/>
        <v>Tue 30 Nov 2021 7:49 pm</v>
      </c>
      <c r="P140" s="7">
        <v>44530</v>
      </c>
      <c r="Q140" t="s">
        <v>907</v>
      </c>
      <c r="R140" s="11" t="s">
        <v>648</v>
      </c>
      <c r="S140" t="str">
        <f t="shared" si="11"/>
        <v>BENGALURU</v>
      </c>
      <c r="T140" t="s">
        <v>984</v>
      </c>
      <c r="U140" t="s">
        <v>1054</v>
      </c>
      <c r="V140" s="25" t="s">
        <v>1072</v>
      </c>
      <c r="W140" s="25">
        <v>84.96</v>
      </c>
      <c r="X140" t="s">
        <v>1108</v>
      </c>
      <c r="Y140" t="s">
        <v>1110</v>
      </c>
      <c r="Z140" s="32" t="str">
        <f t="array" ref="Z140">IF(ISNUMBER(SEARCH("lipstick",G140)),"lipstick cases,","")&amp; IF(ISNUMBER(SEARCH("piggy",G140)),"Piggy coin bank ","")&amp;IF(ISNUMBER(SEARCH("Jewelry",G140)),"Jewelry box ","")&amp; IF(ISNUMBER(SEARCH("clutch",G140)),"Clutch purse,","")&amp; IF(ISNUMBER(SEARCH("wallet",G140)),"Wallet ","")&amp; IF(ISNUMBER(SEARCH("sling",G140)),"Sling bag ", "")&amp; IF(ISNUMBER(SEARCH("shoulder bag",G140)),"Shoulder bag,","")&amp; IF(ISNUMBER(SEARCH("Handbag",G140)),"Handbag","")</f>
        <v xml:space="preserve">Piggy coin bank </v>
      </c>
      <c r="AA140" t="s">
        <v>1129</v>
      </c>
    </row>
    <row r="141" spans="1:27" ht="15.6" x14ac:dyDescent="0.3">
      <c r="A141" s="2" t="s">
        <v>649</v>
      </c>
      <c r="B141" s="5" t="s">
        <v>650</v>
      </c>
      <c r="C141" s="2" t="s">
        <v>559</v>
      </c>
      <c r="D141" s="2" t="s">
        <v>536</v>
      </c>
      <c r="E141" s="2" t="s">
        <v>54</v>
      </c>
      <c r="F141" s="2" t="s">
        <v>433</v>
      </c>
      <c r="G141" s="2" t="s">
        <v>434</v>
      </c>
      <c r="H141" s="20">
        <v>1</v>
      </c>
      <c r="I141" s="13">
        <v>549</v>
      </c>
      <c r="J141" s="13">
        <v>47.2</v>
      </c>
      <c r="K141" s="2" t="s">
        <v>21</v>
      </c>
      <c r="L141" s="2" t="s">
        <v>22</v>
      </c>
      <c r="M141" t="str">
        <f t="shared" si="10"/>
        <v>Sat 4 Dec 2021 12:43 am IST</v>
      </c>
      <c r="N141" t="s">
        <v>939</v>
      </c>
      <c r="O141" s="7" t="str">
        <f t="shared" si="12"/>
        <v>Sat 4 Dec 2021 12:43 am</v>
      </c>
      <c r="P141" s="7">
        <v>44534</v>
      </c>
      <c r="Q141" t="s">
        <v>908</v>
      </c>
      <c r="R141" s="11" t="s">
        <v>559</v>
      </c>
      <c r="S141" t="str">
        <f t="shared" si="11"/>
        <v>Kolkata</v>
      </c>
      <c r="T141" t="s">
        <v>991</v>
      </c>
      <c r="U141" t="s">
        <v>1052</v>
      </c>
      <c r="V141" s="25" t="s">
        <v>1077</v>
      </c>
      <c r="W141" s="25">
        <v>47.2</v>
      </c>
      <c r="X141" t="s">
        <v>1108</v>
      </c>
      <c r="Y141" t="s">
        <v>1110</v>
      </c>
      <c r="Z141" s="32" t="str">
        <f t="array" ref="Z141">IF(ISNUMBER(SEARCH("lipstick",G141)),"lipstick cases,","")&amp; IF(ISNUMBER(SEARCH("piggy",G141)),"Piggy coin bank ","")&amp;IF(ISNUMBER(SEARCH("Jewelry",G141)),"Jewelry box ","")&amp; IF(ISNUMBER(SEARCH("clutch",G141)),"Clutch purse,","")&amp; IF(ISNUMBER(SEARCH("wallet",G141)),"Wallet ","")&amp; IF(ISNUMBER(SEARCH("sling",G141)),"Sling bag ", "")&amp; IF(ISNUMBER(SEARCH("shoulder bag",G141)),"Shoulder bag,","")&amp; IF(ISNUMBER(SEARCH("Handbag",G141)),"Handbag","")</f>
        <v xml:space="preserve">Piggy coin bank </v>
      </c>
      <c r="AA141" t="s">
        <v>1135</v>
      </c>
    </row>
    <row r="142" spans="1:27" ht="15.6" x14ac:dyDescent="0.3">
      <c r="A142" s="2" t="s">
        <v>651</v>
      </c>
      <c r="B142" s="5" t="s">
        <v>652</v>
      </c>
      <c r="C142" s="2" t="s">
        <v>653</v>
      </c>
      <c r="D142" s="2" t="s">
        <v>120</v>
      </c>
      <c r="E142" s="2" t="s">
        <v>54</v>
      </c>
      <c r="F142" s="2" t="s">
        <v>289</v>
      </c>
      <c r="G142" s="2" t="s">
        <v>290</v>
      </c>
      <c r="H142" s="20">
        <v>1</v>
      </c>
      <c r="I142" s="13">
        <v>399</v>
      </c>
      <c r="J142" s="13">
        <v>47.2</v>
      </c>
      <c r="K142" s="2" t="s">
        <v>21</v>
      </c>
      <c r="L142" s="2" t="s">
        <v>22</v>
      </c>
      <c r="M142" t="str">
        <f t="shared" si="10"/>
        <v>Fri 31 Dec 2021 9:55 pm IST</v>
      </c>
      <c r="N142" t="s">
        <v>941</v>
      </c>
      <c r="O142" s="7" t="str">
        <f t="shared" si="12"/>
        <v>Fri 31 Dec 2021 9:55 pm</v>
      </c>
      <c r="P142" s="7">
        <v>44561</v>
      </c>
      <c r="Q142" t="s">
        <v>871</v>
      </c>
      <c r="R142" s="11" t="s">
        <v>968</v>
      </c>
      <c r="S142" t="str">
        <f t="shared" si="11"/>
        <v>KOLKATA</v>
      </c>
      <c r="T142" t="s">
        <v>991</v>
      </c>
      <c r="U142" t="s">
        <v>1052</v>
      </c>
      <c r="V142" s="25" t="s">
        <v>1074</v>
      </c>
      <c r="W142" s="25">
        <v>47.2</v>
      </c>
      <c r="X142" t="s">
        <v>1108</v>
      </c>
      <c r="Y142" t="s">
        <v>1110</v>
      </c>
      <c r="Z142" s="32" t="str">
        <f t="array" ref="Z142">IF(ISNUMBER(SEARCH("lipstick",G142)),"lipstick cases,","")&amp; IF(ISNUMBER(SEARCH("piggy",G142)),"Piggy coin bank ","")&amp;IF(ISNUMBER(SEARCH("Jewelry",G142)),"Jewelry box ","")&amp; IF(ISNUMBER(SEARCH("clutch",G142)),"Clutch purse,","")&amp; IF(ISNUMBER(SEARCH("wallet",G142)),"Wallet ","")&amp; IF(ISNUMBER(SEARCH("sling",G142)),"Sling bag ", "")&amp; IF(ISNUMBER(SEARCH("shoulder bag",G142)),"Shoulder bag,","")&amp; IF(ISNUMBER(SEARCH("Handbag",G142)),"Handbag","")</f>
        <v xml:space="preserve">Clutch purse,Wallet </v>
      </c>
      <c r="AA142" t="s">
        <v>1135</v>
      </c>
    </row>
    <row r="143" spans="1:27" ht="15.6" x14ac:dyDescent="0.3">
      <c r="A143" s="2" t="s">
        <v>654</v>
      </c>
      <c r="B143" s="5" t="s">
        <v>655</v>
      </c>
      <c r="C143" s="2" t="s">
        <v>656</v>
      </c>
      <c r="D143" s="2" t="s">
        <v>657</v>
      </c>
      <c r="E143" s="2" t="s">
        <v>247</v>
      </c>
      <c r="F143" s="2" t="s">
        <v>295</v>
      </c>
      <c r="G143" s="2" t="s">
        <v>658</v>
      </c>
      <c r="H143" s="20">
        <v>1</v>
      </c>
      <c r="I143" s="13">
        <v>349</v>
      </c>
      <c r="J143" s="13">
        <v>84.96</v>
      </c>
      <c r="K143" s="2" t="s">
        <v>21</v>
      </c>
      <c r="L143" s="2" t="s">
        <v>22</v>
      </c>
      <c r="M143" t="str">
        <f t="shared" si="10"/>
        <v>Sun 30 Jan 2022 7:13 pm IST</v>
      </c>
      <c r="N143" t="s">
        <v>935</v>
      </c>
      <c r="O143" s="7" t="str">
        <f t="shared" si="12"/>
        <v>Sun 30 Jan 2022 7:13 pm</v>
      </c>
      <c r="P143" s="7">
        <v>44591</v>
      </c>
      <c r="Q143" t="s">
        <v>883</v>
      </c>
      <c r="R143" s="11" t="s">
        <v>969</v>
      </c>
      <c r="S143" t="str">
        <f t="shared" si="11"/>
        <v>VADODARA</v>
      </c>
      <c r="T143" t="s">
        <v>1038</v>
      </c>
      <c r="U143" t="s">
        <v>1062</v>
      </c>
      <c r="V143" s="25" t="s">
        <v>1079</v>
      </c>
      <c r="W143" s="25">
        <v>84.96</v>
      </c>
      <c r="X143" t="s">
        <v>1108</v>
      </c>
      <c r="Y143" t="s">
        <v>1110</v>
      </c>
      <c r="Z143" s="32" t="str">
        <f t="array" ref="Z143">IF(ISNUMBER(SEARCH("lipstick",G143)),"lipstick cases,","")&amp; IF(ISNUMBER(SEARCH("piggy",G143)),"Piggy coin bank ","")&amp;IF(ISNUMBER(SEARCH("Jewelry",G143)),"Jewelry box ","")&amp; IF(ISNUMBER(SEARCH("clutch",G143)),"Clutch purse,","")&amp; IF(ISNUMBER(SEARCH("wallet",G143)),"Wallet ","")&amp; IF(ISNUMBER(SEARCH("sling",G143)),"Sling bag ", "")&amp; IF(ISNUMBER(SEARCH("shoulder bag",G143)),"Shoulder bag,","")&amp; IF(ISNUMBER(SEARCH("Handbag",G143)),"Handbag","")</f>
        <v xml:space="preserve">Piggy coin bank </v>
      </c>
      <c r="AA143" t="s">
        <v>1134</v>
      </c>
    </row>
    <row r="144" spans="1:27" ht="15.6" x14ac:dyDescent="0.3">
      <c r="A144" s="2" t="s">
        <v>659</v>
      </c>
      <c r="B144" s="5" t="s">
        <v>660</v>
      </c>
      <c r="C144" s="2" t="s">
        <v>661</v>
      </c>
      <c r="D144" s="2" t="s">
        <v>364</v>
      </c>
      <c r="E144" s="2" t="s">
        <v>662</v>
      </c>
      <c r="F144" s="2" t="s">
        <v>28</v>
      </c>
      <c r="G144" s="2" t="s">
        <v>29</v>
      </c>
      <c r="H144" s="20">
        <v>1</v>
      </c>
      <c r="I144" s="13">
        <v>449</v>
      </c>
      <c r="J144" s="13">
        <v>84.96</v>
      </c>
      <c r="K144" s="2" t="s">
        <v>40</v>
      </c>
      <c r="L144" s="2" t="s">
        <v>22</v>
      </c>
      <c r="M144" t="str">
        <f t="shared" si="10"/>
        <v>Wed 29 Dec 2021 8:44 am IST</v>
      </c>
      <c r="N144" t="s">
        <v>937</v>
      </c>
      <c r="O144" s="7" t="str">
        <f t="shared" si="12"/>
        <v>Wed 29 Dec 2021 8:44 am</v>
      </c>
      <c r="P144" s="7">
        <v>44559</v>
      </c>
      <c r="Q144" t="s">
        <v>909</v>
      </c>
      <c r="R144" s="11" t="s">
        <v>383</v>
      </c>
      <c r="S144" t="str">
        <f t="shared" si="11"/>
        <v>PUNJAB</v>
      </c>
      <c r="T144" t="s">
        <v>1039</v>
      </c>
      <c r="U144" t="s">
        <v>1069</v>
      </c>
      <c r="V144" s="25" t="s">
        <v>1072</v>
      </c>
      <c r="W144" s="25">
        <v>84.96</v>
      </c>
      <c r="X144" t="s">
        <v>1109</v>
      </c>
      <c r="Y144" t="s">
        <v>1110</v>
      </c>
      <c r="Z144" s="32" t="str">
        <f t="array" ref="Z144">IF(ISNUMBER(SEARCH("lipstick",G144)),"lipstick cases,","")&amp; IF(ISNUMBER(SEARCH("piggy",G144)),"Piggy coin bank ","")&amp;IF(ISNUMBER(SEARCH("Jewelry",G144)),"Jewelry box ","")&amp; IF(ISNUMBER(SEARCH("clutch",G144)),"Clutch purse,","")&amp; IF(ISNUMBER(SEARCH("wallet",G144)),"Wallet ","")&amp; IF(ISNUMBER(SEARCH("sling",G144)),"Sling bag ", "")&amp; IF(ISNUMBER(SEARCH("shoulder bag",G144)),"Shoulder bag,","")&amp; IF(ISNUMBER(SEARCH("Handbag",G144)),"Handbag","")</f>
        <v xml:space="preserve">lipstick cases,Jewelry box </v>
      </c>
      <c r="AA144" t="s">
        <v>1135</v>
      </c>
    </row>
    <row r="145" spans="1:27" ht="15.6" x14ac:dyDescent="0.3">
      <c r="A145" s="2" t="s">
        <v>663</v>
      </c>
      <c r="B145" s="5" t="s">
        <v>664</v>
      </c>
      <c r="C145" s="2" t="s">
        <v>665</v>
      </c>
      <c r="D145" s="2" t="s">
        <v>120</v>
      </c>
      <c r="E145" s="2" t="s">
        <v>54</v>
      </c>
      <c r="F145" s="2" t="s">
        <v>78</v>
      </c>
      <c r="G145" s="2" t="s">
        <v>621</v>
      </c>
      <c r="H145" s="20">
        <v>1</v>
      </c>
      <c r="I145" s="13">
        <v>475</v>
      </c>
      <c r="J145" s="13">
        <v>47.2</v>
      </c>
      <c r="K145" s="2" t="s">
        <v>21</v>
      </c>
      <c r="L145" s="2" t="s">
        <v>22</v>
      </c>
      <c r="M145" t="str">
        <f t="shared" si="10"/>
        <v>Sun 16 Jan 2022 5:23 pm IST</v>
      </c>
      <c r="N145" t="s">
        <v>935</v>
      </c>
      <c r="O145" s="7" t="str">
        <f t="shared" si="12"/>
        <v>Sun 16 Jan 2022 5:23 pm</v>
      </c>
      <c r="P145" s="7">
        <v>44577</v>
      </c>
      <c r="Q145" t="s">
        <v>910</v>
      </c>
      <c r="R145" s="11" t="s">
        <v>970</v>
      </c>
      <c r="S145" t="str">
        <f t="shared" si="11"/>
        <v>KOLKATA</v>
      </c>
      <c r="T145" t="s">
        <v>991</v>
      </c>
      <c r="U145" t="s">
        <v>1052</v>
      </c>
      <c r="V145" s="25" t="s">
        <v>1083</v>
      </c>
      <c r="W145" s="25">
        <v>47.2</v>
      </c>
      <c r="X145" t="s">
        <v>1108</v>
      </c>
      <c r="Y145" t="s">
        <v>1110</v>
      </c>
      <c r="Z145" s="32" t="str">
        <f t="array" ref="Z145">IF(ISNUMBER(SEARCH("lipstick",G145)),"lipstick cases,","")&amp; IF(ISNUMBER(SEARCH("piggy",G145)),"Piggy coin bank ","")&amp;IF(ISNUMBER(SEARCH("Jewelry",G145)),"Jewelry box ","")&amp; IF(ISNUMBER(SEARCH("clutch",G145)),"Clutch purse,","")&amp; IF(ISNUMBER(SEARCH("wallet",G145)),"Wallet ","")&amp; IF(ISNUMBER(SEARCH("sling",G145)),"Sling bag ", "")&amp; IF(ISNUMBER(SEARCH("shoulder bag",G145)),"Shoulder bag,","")&amp; IF(ISNUMBER(SEARCH("Handbag",G145)),"Handbag","")</f>
        <v xml:space="preserve">Jewelry box </v>
      </c>
      <c r="AA145" t="s">
        <v>1134</v>
      </c>
    </row>
    <row r="146" spans="1:27" ht="15.6" x14ac:dyDescent="0.3">
      <c r="A146" s="2" t="s">
        <v>666</v>
      </c>
      <c r="B146" s="5" t="s">
        <v>667</v>
      </c>
      <c r="C146" s="2" t="s">
        <v>668</v>
      </c>
      <c r="D146" s="2" t="s">
        <v>669</v>
      </c>
      <c r="E146" s="2" t="s">
        <v>62</v>
      </c>
      <c r="F146" s="2" t="s">
        <v>224</v>
      </c>
      <c r="G146" s="2" t="s">
        <v>225</v>
      </c>
      <c r="H146" s="20">
        <v>1</v>
      </c>
      <c r="I146" s="13">
        <v>449</v>
      </c>
      <c r="J146" s="13">
        <v>84.96</v>
      </c>
      <c r="K146" s="2" t="s">
        <v>40</v>
      </c>
      <c r="L146" s="2" t="s">
        <v>22</v>
      </c>
      <c r="M146" t="str">
        <f t="shared" si="10"/>
        <v>Wed 23 Feb 2022 9:29 pm IST</v>
      </c>
      <c r="N146" t="s">
        <v>937</v>
      </c>
      <c r="O146" s="7" t="str">
        <f t="shared" si="12"/>
        <v>Wed 23 Feb 2022 9:29 pm</v>
      </c>
      <c r="P146" s="7">
        <v>44615</v>
      </c>
      <c r="Q146" t="s">
        <v>911</v>
      </c>
      <c r="R146" s="11" t="s">
        <v>668</v>
      </c>
      <c r="S146" t="str">
        <f t="shared" si="11"/>
        <v>AMROHA</v>
      </c>
      <c r="T146" t="s">
        <v>1040</v>
      </c>
      <c r="U146" t="s">
        <v>1053</v>
      </c>
      <c r="V146" s="25" t="s">
        <v>1072</v>
      </c>
      <c r="W146" s="25">
        <v>84.96</v>
      </c>
      <c r="X146" t="s">
        <v>1109</v>
      </c>
      <c r="Y146" t="s">
        <v>1110</v>
      </c>
      <c r="Z146" s="32" t="str">
        <f t="array" ref="Z146">IF(ISNUMBER(SEARCH("lipstick",G146)),"lipstick cases,","")&amp; IF(ISNUMBER(SEARCH("piggy",G146)),"Piggy coin bank ","")&amp;IF(ISNUMBER(SEARCH("Jewelry",G146)),"Jewelry box ","")&amp; IF(ISNUMBER(SEARCH("clutch",G146)),"Clutch purse,","")&amp; IF(ISNUMBER(SEARCH("wallet",G146)),"Wallet ","")&amp; IF(ISNUMBER(SEARCH("sling",G146)),"Sling bag ", "")&amp; IF(ISNUMBER(SEARCH("shoulder bag",G146)),"Shoulder bag,","")&amp; IF(ISNUMBER(SEARCH("Handbag",G146)),"Handbag","")</f>
        <v xml:space="preserve">Piggy coin bank </v>
      </c>
      <c r="AA146" t="s">
        <v>1133</v>
      </c>
    </row>
    <row r="147" spans="1:27" ht="15.6" x14ac:dyDescent="0.3">
      <c r="A147" s="2" t="s">
        <v>670</v>
      </c>
      <c r="B147" s="5" t="s">
        <v>671</v>
      </c>
      <c r="C147" s="2" t="s">
        <v>672</v>
      </c>
      <c r="D147" s="2" t="s">
        <v>44</v>
      </c>
      <c r="E147" s="2" t="s">
        <v>45</v>
      </c>
      <c r="F147" s="2" t="s">
        <v>295</v>
      </c>
      <c r="G147" s="2" t="s">
        <v>658</v>
      </c>
      <c r="H147" s="20">
        <v>1</v>
      </c>
      <c r="I147" s="13">
        <v>349</v>
      </c>
      <c r="J147" s="13">
        <v>84.96</v>
      </c>
      <c r="K147" s="2" t="s">
        <v>21</v>
      </c>
      <c r="L147" s="2" t="s">
        <v>22</v>
      </c>
      <c r="M147" t="str">
        <f t="shared" si="10"/>
        <v>Wed 9 Feb 2022 7:17 pm IST</v>
      </c>
      <c r="N147" t="s">
        <v>937</v>
      </c>
      <c r="O147" s="7" t="str">
        <f t="shared" si="12"/>
        <v>Wed 9 Feb 2022 7:17 pm</v>
      </c>
      <c r="P147" s="7">
        <v>44601</v>
      </c>
      <c r="Q147" t="s">
        <v>912</v>
      </c>
      <c r="R147" s="11" t="s">
        <v>672</v>
      </c>
      <c r="S147" t="str">
        <f t="shared" si="11"/>
        <v>MUMBAI</v>
      </c>
      <c r="T147" t="s">
        <v>980</v>
      </c>
      <c r="U147" t="s">
        <v>339</v>
      </c>
      <c r="V147" s="25" t="s">
        <v>1079</v>
      </c>
      <c r="W147" s="25">
        <v>84.96</v>
      </c>
      <c r="X147" t="s">
        <v>1108</v>
      </c>
      <c r="Y147" t="s">
        <v>1110</v>
      </c>
      <c r="Z147" s="32" t="str">
        <f t="array" ref="Z147">IF(ISNUMBER(SEARCH("lipstick",G147)),"lipstick cases,","")&amp; IF(ISNUMBER(SEARCH("piggy",G147)),"Piggy coin bank ","")&amp;IF(ISNUMBER(SEARCH("Jewelry",G147)),"Jewelry box ","")&amp; IF(ISNUMBER(SEARCH("clutch",G147)),"Clutch purse,","")&amp; IF(ISNUMBER(SEARCH("wallet",G147)),"Wallet ","")&amp; IF(ISNUMBER(SEARCH("sling",G147)),"Sling bag ", "")&amp; IF(ISNUMBER(SEARCH("shoulder bag",G147)),"Shoulder bag,","")&amp; IF(ISNUMBER(SEARCH("Handbag",G147)),"Handbag","")</f>
        <v xml:space="preserve">Piggy coin bank </v>
      </c>
      <c r="AA147" t="s">
        <v>1133</v>
      </c>
    </row>
    <row r="148" spans="1:27" ht="15.6" x14ac:dyDescent="0.3">
      <c r="A148" s="2" t="s">
        <v>673</v>
      </c>
      <c r="B148" s="5" t="s">
        <v>674</v>
      </c>
      <c r="C148" s="2" t="s">
        <v>675</v>
      </c>
      <c r="D148" s="2" t="s">
        <v>676</v>
      </c>
      <c r="E148" s="2" t="s">
        <v>62</v>
      </c>
      <c r="F148" s="2" t="s">
        <v>131</v>
      </c>
      <c r="G148" s="2" t="s">
        <v>132</v>
      </c>
      <c r="H148" s="20">
        <v>1</v>
      </c>
      <c r="I148" s="13">
        <v>449</v>
      </c>
      <c r="J148" s="13">
        <v>84.96</v>
      </c>
      <c r="K148" s="2" t="s">
        <v>21</v>
      </c>
      <c r="L148" s="2" t="s">
        <v>22</v>
      </c>
      <c r="M148" t="str">
        <f t="shared" si="10"/>
        <v>Thu 13 Jan 2022 7:35 pm IST</v>
      </c>
      <c r="N148" t="s">
        <v>938</v>
      </c>
      <c r="O148" s="7" t="str">
        <f t="shared" si="12"/>
        <v>Thu 13 Jan 2022 7:35 pm</v>
      </c>
      <c r="P148" s="7">
        <v>44574</v>
      </c>
      <c r="Q148" t="s">
        <v>913</v>
      </c>
      <c r="R148" s="11" t="s">
        <v>971</v>
      </c>
      <c r="S148" t="str">
        <f t="shared" si="11"/>
        <v>LUCKNOW</v>
      </c>
      <c r="T148" t="s">
        <v>1041</v>
      </c>
      <c r="U148" t="s">
        <v>1053</v>
      </c>
      <c r="V148" s="25" t="s">
        <v>1072</v>
      </c>
      <c r="W148" s="25">
        <v>84.96</v>
      </c>
      <c r="X148" t="s">
        <v>1108</v>
      </c>
      <c r="Y148" t="s">
        <v>1110</v>
      </c>
      <c r="Z148" s="32" t="str">
        <f t="array" ref="Z148">IF(ISNUMBER(SEARCH("lipstick",G148)),"lipstick cases,","")&amp; IF(ISNUMBER(SEARCH("piggy",G148)),"Piggy coin bank ","")&amp;IF(ISNUMBER(SEARCH("Jewelry",G148)),"Jewelry box ","")&amp; IF(ISNUMBER(SEARCH("clutch",G148)),"Clutch purse,","")&amp; IF(ISNUMBER(SEARCH("wallet",G148)),"Wallet ","")&amp; IF(ISNUMBER(SEARCH("sling",G148)),"Sling bag ", "")&amp; IF(ISNUMBER(SEARCH("shoulder bag",G148)),"Shoulder bag,","")&amp; IF(ISNUMBER(SEARCH("Handbag",G148)),"Handbag","")</f>
        <v xml:space="preserve">Piggy coin bank </v>
      </c>
      <c r="AA148" t="s">
        <v>1134</v>
      </c>
    </row>
    <row r="149" spans="1:27" ht="15.6" x14ac:dyDescent="0.3">
      <c r="A149" s="2" t="s">
        <v>677</v>
      </c>
      <c r="B149" s="5" t="s">
        <v>678</v>
      </c>
      <c r="C149" s="2" t="s">
        <v>679</v>
      </c>
      <c r="D149" s="2" t="s">
        <v>762</v>
      </c>
      <c r="E149" s="2" t="s">
        <v>54</v>
      </c>
      <c r="F149" s="2" t="s">
        <v>78</v>
      </c>
      <c r="G149" s="2" t="s">
        <v>621</v>
      </c>
      <c r="H149" s="20">
        <v>1</v>
      </c>
      <c r="I149" s="13">
        <v>475</v>
      </c>
      <c r="J149" s="13">
        <v>60.18</v>
      </c>
      <c r="K149" s="2" t="s">
        <v>21</v>
      </c>
      <c r="L149" s="2" t="s">
        <v>22</v>
      </c>
      <c r="M149" t="str">
        <f t="shared" si="10"/>
        <v>Mon 20 Dec 2021 8:29 pm IST</v>
      </c>
      <c r="N149" t="s">
        <v>940</v>
      </c>
      <c r="O149" s="7" t="str">
        <f t="shared" si="12"/>
        <v>Mon 20 Dec 2021 8:29 pm</v>
      </c>
      <c r="P149" s="7">
        <v>44550</v>
      </c>
      <c r="Q149" t="s">
        <v>914</v>
      </c>
      <c r="R149" s="11" t="s">
        <v>679</v>
      </c>
      <c r="S149" t="str">
        <f t="shared" si="11"/>
        <v>BURDWAN</v>
      </c>
      <c r="T149" t="s">
        <v>1042</v>
      </c>
      <c r="U149" t="s">
        <v>1052</v>
      </c>
      <c r="V149" s="25" t="s">
        <v>1083</v>
      </c>
      <c r="W149" s="25">
        <v>60.18</v>
      </c>
      <c r="X149" t="s">
        <v>1108</v>
      </c>
      <c r="Y149" t="s">
        <v>1110</v>
      </c>
      <c r="Z149" s="32" t="str">
        <f t="array" ref="Z149">IF(ISNUMBER(SEARCH("lipstick",G149)),"lipstick cases,","")&amp; IF(ISNUMBER(SEARCH("piggy",G149)),"Piggy coin bank ","")&amp;IF(ISNUMBER(SEARCH("Jewelry",G149)),"Jewelry box ","")&amp; IF(ISNUMBER(SEARCH("clutch",G149)),"Clutch purse,","")&amp; IF(ISNUMBER(SEARCH("wallet",G149)),"Wallet ","")&amp; IF(ISNUMBER(SEARCH("sling",G149)),"Sling bag ", "")&amp; IF(ISNUMBER(SEARCH("shoulder bag",G149)),"Shoulder bag,","")&amp; IF(ISNUMBER(SEARCH("Handbag",G149)),"Handbag","")</f>
        <v xml:space="preserve">Jewelry box </v>
      </c>
      <c r="AA149" t="s">
        <v>1135</v>
      </c>
    </row>
    <row r="150" spans="1:27" ht="15.6" x14ac:dyDescent="0.3">
      <c r="A150" s="2" t="s">
        <v>680</v>
      </c>
      <c r="B150" s="5" t="s">
        <v>681</v>
      </c>
      <c r="C150" s="2" t="s">
        <v>582</v>
      </c>
      <c r="D150" s="2" t="s">
        <v>583</v>
      </c>
      <c r="E150" s="2" t="s">
        <v>102</v>
      </c>
      <c r="F150" s="2" t="s">
        <v>426</v>
      </c>
      <c r="G150" s="2" t="s">
        <v>427</v>
      </c>
      <c r="H150" s="20">
        <v>1</v>
      </c>
      <c r="I150" s="13">
        <v>399</v>
      </c>
      <c r="J150" s="13">
        <v>84.96</v>
      </c>
      <c r="K150" s="2" t="s">
        <v>21</v>
      </c>
      <c r="L150" s="2" t="s">
        <v>22</v>
      </c>
      <c r="M150" t="str">
        <f t="shared" si="10"/>
        <v>Sun 9 Jan 2022 12:28 am IST</v>
      </c>
      <c r="N150" t="s">
        <v>935</v>
      </c>
      <c r="O150" s="7" t="str">
        <f t="shared" si="12"/>
        <v>Sun 9 Jan 2022 12:28 am</v>
      </c>
      <c r="P150" s="7">
        <v>44570</v>
      </c>
      <c r="Q150" t="s">
        <v>915</v>
      </c>
      <c r="R150" s="11" t="s">
        <v>331</v>
      </c>
      <c r="S150" t="str">
        <f t="shared" si="11"/>
        <v>chennai</v>
      </c>
      <c r="T150" t="s">
        <v>1021</v>
      </c>
      <c r="U150" t="s">
        <v>1058</v>
      </c>
      <c r="V150" s="25" t="s">
        <v>1074</v>
      </c>
      <c r="W150" s="25">
        <v>84.96</v>
      </c>
      <c r="X150" t="s">
        <v>1108</v>
      </c>
      <c r="Y150" t="s">
        <v>1110</v>
      </c>
      <c r="Z150" s="32" t="str">
        <f t="array" ref="Z150">IF(ISNUMBER(SEARCH("lipstick",G150)),"lipstick cases,","")&amp; IF(ISNUMBER(SEARCH("piggy",G150)),"Piggy coin bank ","")&amp;IF(ISNUMBER(SEARCH("Jewelry",G150)),"Jewelry box ","")&amp; IF(ISNUMBER(SEARCH("clutch",G150)),"Clutch purse,","")&amp; IF(ISNUMBER(SEARCH("wallet",G150)),"Wallet ","")&amp; IF(ISNUMBER(SEARCH("sling",G150)),"Sling bag ", "")&amp; IF(ISNUMBER(SEARCH("shoulder bag",G150)),"Shoulder bag,","")&amp; IF(ISNUMBER(SEARCH("Handbag",G150)),"Handbag","")</f>
        <v xml:space="preserve">Clutch purse,Wallet </v>
      </c>
      <c r="AA150" t="s">
        <v>1134</v>
      </c>
    </row>
    <row r="151" spans="1:27" ht="15.6" x14ac:dyDescent="0.3">
      <c r="A151" s="2" t="s">
        <v>682</v>
      </c>
      <c r="B151" s="5" t="s">
        <v>683</v>
      </c>
      <c r="C151" s="2" t="s">
        <v>684</v>
      </c>
      <c r="D151" s="2" t="s">
        <v>685</v>
      </c>
      <c r="E151" s="2" t="s">
        <v>102</v>
      </c>
      <c r="F151" s="2" t="s">
        <v>28</v>
      </c>
      <c r="G151" s="2" t="s">
        <v>29</v>
      </c>
      <c r="H151" s="20">
        <v>1</v>
      </c>
      <c r="I151" s="13">
        <v>449</v>
      </c>
      <c r="J151" s="13">
        <v>84.96</v>
      </c>
      <c r="K151" s="2" t="s">
        <v>40</v>
      </c>
      <c r="L151" s="2" t="s">
        <v>22</v>
      </c>
      <c r="M151" t="str">
        <f t="shared" si="10"/>
        <v>Thu 9 Dec 2021 11:29 am IST</v>
      </c>
      <c r="N151" t="s">
        <v>938</v>
      </c>
      <c r="O151" s="7" t="str">
        <f t="shared" si="12"/>
        <v>Thu 9 Dec 2021 11:29 am</v>
      </c>
      <c r="P151" s="7">
        <v>44539</v>
      </c>
      <c r="Q151" t="s">
        <v>916</v>
      </c>
      <c r="R151" s="11" t="s">
        <v>684</v>
      </c>
      <c r="S151" t="str">
        <f t="shared" si="11"/>
        <v>Kodambakkam Chennai</v>
      </c>
      <c r="T151" t="s">
        <v>1043</v>
      </c>
      <c r="U151" t="s">
        <v>1058</v>
      </c>
      <c r="V151" s="25" t="s">
        <v>1072</v>
      </c>
      <c r="W151" s="25">
        <v>84.96</v>
      </c>
      <c r="X151" t="s">
        <v>1109</v>
      </c>
      <c r="Y151" t="s">
        <v>1110</v>
      </c>
      <c r="Z151" s="32" t="str">
        <f t="array" ref="Z151">IF(ISNUMBER(SEARCH("lipstick",G151)),"lipstick cases,","")&amp; IF(ISNUMBER(SEARCH("piggy",G151)),"Piggy coin bank ","")&amp;IF(ISNUMBER(SEARCH("Jewelry",G151)),"Jewelry box ","")&amp; IF(ISNUMBER(SEARCH("clutch",G151)),"Clutch purse,","")&amp; IF(ISNUMBER(SEARCH("wallet",G151)),"Wallet ","")&amp; IF(ISNUMBER(SEARCH("sling",G151)),"Sling bag ", "")&amp; IF(ISNUMBER(SEARCH("shoulder bag",G151)),"Shoulder bag,","")&amp; IF(ISNUMBER(SEARCH("Handbag",G151)),"Handbag","")</f>
        <v xml:space="preserve">lipstick cases,Jewelry box </v>
      </c>
      <c r="AA151" t="s">
        <v>1135</v>
      </c>
    </row>
    <row r="152" spans="1:27" ht="15.6" x14ac:dyDescent="0.3">
      <c r="A152" s="2" t="s">
        <v>686</v>
      </c>
      <c r="B152" s="5" t="s">
        <v>687</v>
      </c>
      <c r="C152" s="2" t="s">
        <v>688</v>
      </c>
      <c r="D152" s="2" t="s">
        <v>76</v>
      </c>
      <c r="E152" s="2" t="s">
        <v>77</v>
      </c>
      <c r="F152" s="2" t="s">
        <v>28</v>
      </c>
      <c r="G152" s="2" t="s">
        <v>29</v>
      </c>
      <c r="H152" s="20">
        <v>1</v>
      </c>
      <c r="I152" s="9" t="s">
        <v>21</v>
      </c>
      <c r="J152" s="13">
        <v>84.96</v>
      </c>
      <c r="K152" s="2" t="s">
        <v>21</v>
      </c>
      <c r="L152" s="2" t="s">
        <v>65</v>
      </c>
      <c r="M152" t="str">
        <f t="shared" si="10"/>
        <v>Sun 19 Dec 2021 7:41 am IST</v>
      </c>
      <c r="N152" t="s">
        <v>935</v>
      </c>
      <c r="O152" s="7" t="str">
        <f t="shared" si="12"/>
        <v>Sun 19 Dec 2021 7:41 am</v>
      </c>
      <c r="P152" s="7">
        <v>44549</v>
      </c>
      <c r="Q152" t="s">
        <v>917</v>
      </c>
      <c r="R152" s="11" t="s">
        <v>972</v>
      </c>
      <c r="S152" t="str">
        <f t="shared" si="11"/>
        <v>BENGALURU</v>
      </c>
      <c r="T152" t="s">
        <v>984</v>
      </c>
      <c r="U152" t="s">
        <v>1054</v>
      </c>
      <c r="V152" s="25" t="s">
        <v>21</v>
      </c>
      <c r="W152" s="25">
        <v>84.96</v>
      </c>
      <c r="X152" t="s">
        <v>1108</v>
      </c>
      <c r="Y152" t="s">
        <v>1111</v>
      </c>
      <c r="Z152" s="32" t="str">
        <f t="array" ref="Z152">IF(ISNUMBER(SEARCH("lipstick",G152)),"lipstick cases,","")&amp; IF(ISNUMBER(SEARCH("piggy",G152)),"Piggy coin bank ","")&amp;IF(ISNUMBER(SEARCH("Jewelry",G152)),"Jewelry box ","")&amp; IF(ISNUMBER(SEARCH("clutch",G152)),"Clutch purse,","")&amp; IF(ISNUMBER(SEARCH("wallet",G152)),"Wallet ","")&amp; IF(ISNUMBER(SEARCH("sling",G152)),"Sling bag ", "")&amp; IF(ISNUMBER(SEARCH("shoulder bag",G152)),"Shoulder bag,","")&amp; IF(ISNUMBER(SEARCH("Handbag",G152)),"Handbag","")</f>
        <v xml:space="preserve">lipstick cases,Jewelry box </v>
      </c>
      <c r="AA152" t="s">
        <v>1135</v>
      </c>
    </row>
    <row r="153" spans="1:27" ht="15.6" x14ac:dyDescent="0.3">
      <c r="A153" s="2" t="s">
        <v>689</v>
      </c>
      <c r="B153" s="5" t="s">
        <v>690</v>
      </c>
      <c r="C153" s="2" t="s">
        <v>691</v>
      </c>
      <c r="D153" s="2" t="s">
        <v>692</v>
      </c>
      <c r="E153" s="2" t="s">
        <v>62</v>
      </c>
      <c r="F153" s="2" t="s">
        <v>593</v>
      </c>
      <c r="G153" s="2" t="s">
        <v>594</v>
      </c>
      <c r="H153" s="20">
        <v>1</v>
      </c>
      <c r="I153" s="13">
        <v>349</v>
      </c>
      <c r="J153" s="13">
        <v>60.18</v>
      </c>
      <c r="K153" s="2" t="s">
        <v>21</v>
      </c>
      <c r="L153" s="2" t="s">
        <v>22</v>
      </c>
      <c r="M153" t="str">
        <f t="shared" si="10"/>
        <v>Mon 21 Feb 2022 7:52 pm IST</v>
      </c>
      <c r="N153" t="s">
        <v>940</v>
      </c>
      <c r="O153" s="7" t="str">
        <f t="shared" si="12"/>
        <v>Mon 21 Feb 2022 7:52 pm</v>
      </c>
      <c r="P153" s="7">
        <v>44613</v>
      </c>
      <c r="Q153" t="s">
        <v>852</v>
      </c>
      <c r="R153" s="11" t="s">
        <v>691</v>
      </c>
      <c r="S153" t="str">
        <f t="shared" si="11"/>
        <v>ALLAHABAD</v>
      </c>
      <c r="T153" t="s">
        <v>1044</v>
      </c>
      <c r="U153" t="s">
        <v>1053</v>
      </c>
      <c r="V153" s="25" t="s">
        <v>1079</v>
      </c>
      <c r="W153" s="25">
        <v>60.18</v>
      </c>
      <c r="X153" t="s">
        <v>1108</v>
      </c>
      <c r="Y153" t="s">
        <v>1110</v>
      </c>
      <c r="Z153" s="32" t="str">
        <f t="array" ref="Z153">IF(ISNUMBER(SEARCH("lipstick",G153)),"lipstick cases,","")&amp; IF(ISNUMBER(SEARCH("piggy",G153)),"Piggy coin bank ","")&amp;IF(ISNUMBER(SEARCH("Jewelry",G153)),"Jewelry box ","")&amp; IF(ISNUMBER(SEARCH("clutch",G153)),"Clutch purse,","")&amp; IF(ISNUMBER(SEARCH("wallet",G153)),"Wallet ","")&amp; IF(ISNUMBER(SEARCH("sling",G153)),"Sling bag ", "")&amp; IF(ISNUMBER(SEARCH("shoulder bag",G153)),"Shoulder bag,","")&amp; IF(ISNUMBER(SEARCH("Handbag",G153)),"Handbag","")</f>
        <v xml:space="preserve">Piggy coin bank </v>
      </c>
      <c r="AA153" t="s">
        <v>1133</v>
      </c>
    </row>
    <row r="154" spans="1:27" ht="15.6" x14ac:dyDescent="0.3">
      <c r="A154" s="2" t="s">
        <v>693</v>
      </c>
      <c r="B154" s="5" t="s">
        <v>694</v>
      </c>
      <c r="C154" s="2" t="s">
        <v>695</v>
      </c>
      <c r="D154" s="2" t="s">
        <v>76</v>
      </c>
      <c r="E154" s="2" t="s">
        <v>77</v>
      </c>
      <c r="F154" s="2" t="s">
        <v>696</v>
      </c>
      <c r="G154" s="2" t="s">
        <v>697</v>
      </c>
      <c r="H154" s="20">
        <v>1</v>
      </c>
      <c r="I154" s="13">
        <v>549</v>
      </c>
      <c r="J154" s="13">
        <v>84.96</v>
      </c>
      <c r="K154" s="2" t="s">
        <v>21</v>
      </c>
      <c r="L154" s="2" t="s">
        <v>22</v>
      </c>
      <c r="M154" t="str">
        <f t="shared" si="10"/>
        <v>Wed 15 Dec 2021 11:11 am IST</v>
      </c>
      <c r="N154" t="s">
        <v>937</v>
      </c>
      <c r="O154" s="7" t="str">
        <f t="shared" si="12"/>
        <v>Wed 15 Dec 2021 11:11 am</v>
      </c>
      <c r="P154" s="7">
        <v>44545</v>
      </c>
      <c r="Q154" t="s">
        <v>918</v>
      </c>
      <c r="R154" s="11" t="s">
        <v>973</v>
      </c>
      <c r="S154" t="str">
        <f t="shared" si="11"/>
        <v>BENGALURU</v>
      </c>
      <c r="T154" t="s">
        <v>984</v>
      </c>
      <c r="U154" t="s">
        <v>1054</v>
      </c>
      <c r="V154" s="25" t="s">
        <v>1077</v>
      </c>
      <c r="W154" s="25">
        <v>84.96</v>
      </c>
      <c r="X154" t="s">
        <v>1108</v>
      </c>
      <c r="Y154" t="s">
        <v>1110</v>
      </c>
      <c r="Z154" s="32" t="str">
        <f t="array" ref="Z154">IF(ISNUMBER(SEARCH("lipstick",G154)),"lipstick cases,","")&amp; IF(ISNUMBER(SEARCH("piggy",G154)),"Piggy coin bank ","")&amp;IF(ISNUMBER(SEARCH("Jewelry",G154)),"Jewelry box ","")&amp; IF(ISNUMBER(SEARCH("clutch",G154)),"Clutch purse,","")&amp; IF(ISNUMBER(SEARCH("wallet",G154)),"Wallet ","")&amp; IF(ISNUMBER(SEARCH("sling",G154)),"Sling bag ", "")&amp; IF(ISNUMBER(SEARCH("shoulder bag",G154)),"Shoulder bag,","")&amp; IF(ISNUMBER(SEARCH("Handbag",G154)),"Handbag","")</f>
        <v xml:space="preserve">Piggy coin bank </v>
      </c>
      <c r="AA154" t="s">
        <v>1135</v>
      </c>
    </row>
    <row r="155" spans="1:27" ht="15.6" x14ac:dyDescent="0.3">
      <c r="A155" s="2" t="s">
        <v>698</v>
      </c>
      <c r="B155" s="5" t="s">
        <v>699</v>
      </c>
      <c r="C155" s="2" t="s">
        <v>700</v>
      </c>
      <c r="D155" s="2" t="s">
        <v>402</v>
      </c>
      <c r="E155" s="2" t="s">
        <v>102</v>
      </c>
      <c r="F155" s="2" t="s">
        <v>224</v>
      </c>
      <c r="G155" s="2" t="s">
        <v>225</v>
      </c>
      <c r="H155" s="20">
        <v>1</v>
      </c>
      <c r="I155" s="13">
        <v>449</v>
      </c>
      <c r="J155" s="13">
        <v>84.96</v>
      </c>
      <c r="K155" s="2" t="s">
        <v>21</v>
      </c>
      <c r="L155" s="2" t="s">
        <v>22</v>
      </c>
      <c r="M155" t="str">
        <f t="shared" si="10"/>
        <v>Tue 1 Feb 2022 6:45 am IST</v>
      </c>
      <c r="N155" t="s">
        <v>936</v>
      </c>
      <c r="O155" s="7" t="str">
        <f t="shared" si="12"/>
        <v>Tue 1 Feb 2022 6:45 am</v>
      </c>
      <c r="P155" s="7">
        <v>44593</v>
      </c>
      <c r="Q155" t="s">
        <v>919</v>
      </c>
      <c r="R155" s="11" t="s">
        <v>700</v>
      </c>
      <c r="S155" t="str">
        <f t="shared" si="11"/>
        <v>CHENNAI</v>
      </c>
      <c r="T155" t="s">
        <v>1021</v>
      </c>
      <c r="U155" t="s">
        <v>1058</v>
      </c>
      <c r="V155" s="25" t="s">
        <v>1072</v>
      </c>
      <c r="W155" s="25">
        <v>84.96</v>
      </c>
      <c r="X155" t="s">
        <v>1108</v>
      </c>
      <c r="Y155" t="s">
        <v>1110</v>
      </c>
      <c r="Z155" s="32" t="str">
        <f t="array" ref="Z155">IF(ISNUMBER(SEARCH("lipstick",G155)),"lipstick cases,","")&amp; IF(ISNUMBER(SEARCH("piggy",G155)),"Piggy coin bank ","")&amp;IF(ISNUMBER(SEARCH("Jewelry",G155)),"Jewelry box ","")&amp; IF(ISNUMBER(SEARCH("clutch",G155)),"Clutch purse,","")&amp; IF(ISNUMBER(SEARCH("wallet",G155)),"Wallet ","")&amp; IF(ISNUMBER(SEARCH("sling",G155)),"Sling bag ", "")&amp; IF(ISNUMBER(SEARCH("shoulder bag",G155)),"Shoulder bag,","")&amp; IF(ISNUMBER(SEARCH("Handbag",G155)),"Handbag","")</f>
        <v xml:space="preserve">Piggy coin bank </v>
      </c>
      <c r="AA155" t="s">
        <v>1133</v>
      </c>
    </row>
    <row r="156" spans="1:27" ht="15.6" x14ac:dyDescent="0.3">
      <c r="A156" s="2" t="s">
        <v>701</v>
      </c>
      <c r="B156" s="5" t="s">
        <v>702</v>
      </c>
      <c r="C156" s="2" t="s">
        <v>703</v>
      </c>
      <c r="D156" s="2" t="s">
        <v>182</v>
      </c>
      <c r="E156" s="2" t="s">
        <v>183</v>
      </c>
      <c r="F156" s="2" t="s">
        <v>403</v>
      </c>
      <c r="G156" s="2" t="s">
        <v>404</v>
      </c>
      <c r="H156" s="20">
        <v>1</v>
      </c>
      <c r="I156" s="13">
        <v>449</v>
      </c>
      <c r="J156" s="13">
        <v>84.96</v>
      </c>
      <c r="K156" s="2" t="s">
        <v>21</v>
      </c>
      <c r="L156" s="2" t="s">
        <v>22</v>
      </c>
      <c r="M156" t="str">
        <f t="shared" si="10"/>
        <v>Sun 9 Jan 2022 9:33 pm IST</v>
      </c>
      <c r="N156" t="s">
        <v>935</v>
      </c>
      <c r="O156" s="7" t="str">
        <f t="shared" si="12"/>
        <v>Sun 9 Jan 2022 9:33 pm</v>
      </c>
      <c r="P156" s="7">
        <v>44570</v>
      </c>
      <c r="Q156" t="s">
        <v>920</v>
      </c>
      <c r="R156" s="11" t="s">
        <v>974</v>
      </c>
      <c r="S156" t="str">
        <f t="shared" si="11"/>
        <v>NEW DELHI</v>
      </c>
      <c r="T156" t="s">
        <v>999</v>
      </c>
      <c r="U156" t="s">
        <v>1059</v>
      </c>
      <c r="V156" s="25" t="s">
        <v>1072</v>
      </c>
      <c r="W156" s="25">
        <v>84.96</v>
      </c>
      <c r="X156" t="s">
        <v>1108</v>
      </c>
      <c r="Y156" t="s">
        <v>1110</v>
      </c>
      <c r="Z156" s="32" t="str">
        <f t="array" ref="Z156">IF(ISNUMBER(SEARCH("lipstick",G156)),"lipstick cases,","")&amp; IF(ISNUMBER(SEARCH("piggy",G156)),"Piggy coin bank ","")&amp;IF(ISNUMBER(SEARCH("Jewelry",G156)),"Jewelry box ","")&amp; IF(ISNUMBER(SEARCH("clutch",G156)),"Clutch purse,","")&amp; IF(ISNUMBER(SEARCH("wallet",G156)),"Wallet ","")&amp; IF(ISNUMBER(SEARCH("sling",G156)),"Sling bag ", "")&amp; IF(ISNUMBER(SEARCH("shoulder bag",G156)),"Shoulder bag,","")&amp; IF(ISNUMBER(SEARCH("Handbag",G156)),"Handbag","")</f>
        <v xml:space="preserve">Piggy coin bank </v>
      </c>
      <c r="AA156" t="s">
        <v>1134</v>
      </c>
    </row>
    <row r="157" spans="1:27" ht="15.6" x14ac:dyDescent="0.3">
      <c r="A157" s="2" t="s">
        <v>704</v>
      </c>
      <c r="B157" s="5" t="s">
        <v>705</v>
      </c>
      <c r="C157" s="2" t="s">
        <v>706</v>
      </c>
      <c r="D157" s="2" t="s">
        <v>15</v>
      </c>
      <c r="E157" s="2" t="s">
        <v>16</v>
      </c>
      <c r="F157" s="2" t="s">
        <v>28</v>
      </c>
      <c r="G157" s="2" t="s">
        <v>29</v>
      </c>
      <c r="H157" s="20">
        <v>1</v>
      </c>
      <c r="I157" s="9" t="s">
        <v>21</v>
      </c>
      <c r="J157" s="13">
        <v>84.96</v>
      </c>
      <c r="K157" s="2" t="s">
        <v>21</v>
      </c>
      <c r="L157" s="2" t="s">
        <v>22</v>
      </c>
      <c r="M157" t="str">
        <f t="shared" si="10"/>
        <v>Sun 12 Dec 2021 7:09 pm IST</v>
      </c>
      <c r="N157" t="s">
        <v>935</v>
      </c>
      <c r="O157" s="7" t="str">
        <f t="shared" si="12"/>
        <v>Sun 12 Dec 2021 7:09 pm</v>
      </c>
      <c r="P157" s="7">
        <v>44542</v>
      </c>
      <c r="Q157" t="s">
        <v>921</v>
      </c>
      <c r="R157" s="11" t="s">
        <v>706</v>
      </c>
      <c r="S157" t="str">
        <f t="shared" si="11"/>
        <v>CHANDIGARH</v>
      </c>
      <c r="T157" t="s">
        <v>977</v>
      </c>
      <c r="U157" t="s">
        <v>977</v>
      </c>
      <c r="V157" s="25" t="s">
        <v>21</v>
      </c>
      <c r="W157" s="25">
        <v>84.96</v>
      </c>
      <c r="X157" t="s">
        <v>1108</v>
      </c>
      <c r="Y157" t="s">
        <v>1110</v>
      </c>
      <c r="Z157" s="32" t="str">
        <f t="array" ref="Z157">IF(ISNUMBER(SEARCH("lipstick",G157)),"lipstick cases,","")&amp; IF(ISNUMBER(SEARCH("piggy",G157)),"Piggy coin bank ","")&amp;IF(ISNUMBER(SEARCH("Jewelry",G157)),"Jewelry box ","")&amp; IF(ISNUMBER(SEARCH("clutch",G157)),"Clutch purse,","")&amp; IF(ISNUMBER(SEARCH("wallet",G157)),"Wallet ","")&amp; IF(ISNUMBER(SEARCH("sling",G157)),"Sling bag ", "")&amp; IF(ISNUMBER(SEARCH("shoulder bag",G157)),"Shoulder bag,","")&amp; IF(ISNUMBER(SEARCH("Handbag",G157)),"Handbag","")</f>
        <v xml:space="preserve">lipstick cases,Jewelry box </v>
      </c>
      <c r="AA157" t="s">
        <v>1135</v>
      </c>
    </row>
    <row r="158" spans="1:27" ht="15.6" x14ac:dyDescent="0.3">
      <c r="A158" s="2" t="s">
        <v>707</v>
      </c>
      <c r="B158" s="5" t="s">
        <v>708</v>
      </c>
      <c r="C158" s="2" t="s">
        <v>709</v>
      </c>
      <c r="D158" s="2" t="s">
        <v>607</v>
      </c>
      <c r="E158" s="2" t="s">
        <v>173</v>
      </c>
      <c r="F158" s="2" t="s">
        <v>184</v>
      </c>
      <c r="G158" s="2" t="s">
        <v>710</v>
      </c>
      <c r="H158" s="20">
        <v>1</v>
      </c>
      <c r="I158" s="13">
        <v>475</v>
      </c>
      <c r="J158" s="13">
        <v>84.96</v>
      </c>
      <c r="K158" s="2" t="s">
        <v>21</v>
      </c>
      <c r="L158" s="2" t="s">
        <v>22</v>
      </c>
      <c r="M158" t="str">
        <f t="shared" si="10"/>
        <v>Sun 2 Jan 2022 3:01 pm IST</v>
      </c>
      <c r="N158" t="s">
        <v>935</v>
      </c>
      <c r="O158" s="7" t="str">
        <f t="shared" si="12"/>
        <v>Sun 2 Jan 2022 3:01 pm</v>
      </c>
      <c r="P158" s="7">
        <v>44563</v>
      </c>
      <c r="Q158" t="s">
        <v>922</v>
      </c>
      <c r="R158" s="11" t="s">
        <v>709</v>
      </c>
      <c r="S158" t="str">
        <f t="shared" si="11"/>
        <v>Visakhapatnam</v>
      </c>
      <c r="T158" t="s">
        <v>998</v>
      </c>
      <c r="U158" t="s">
        <v>736</v>
      </c>
      <c r="V158" s="25" t="s">
        <v>1083</v>
      </c>
      <c r="W158" s="25">
        <v>84.96</v>
      </c>
      <c r="X158" t="s">
        <v>1108</v>
      </c>
      <c r="Y158" t="s">
        <v>1110</v>
      </c>
      <c r="Z158" s="32" t="str">
        <f t="array" ref="Z158">IF(ISNUMBER(SEARCH("lipstick",G158)),"lipstick cases,","")&amp; IF(ISNUMBER(SEARCH("piggy",G158)),"Piggy coin bank ","")&amp;IF(ISNUMBER(SEARCH("Jewelry",G158)),"Jewelry box ","")&amp; IF(ISNUMBER(SEARCH("clutch",G158)),"Clutch purse,","")&amp; IF(ISNUMBER(SEARCH("wallet",G158)),"Wallet ","")&amp; IF(ISNUMBER(SEARCH("sling",G158)),"Sling bag ", "")&amp; IF(ISNUMBER(SEARCH("shoulder bag",G158)),"Shoulder bag,","")&amp; IF(ISNUMBER(SEARCH("Handbag",G158)),"Handbag","")</f>
        <v xml:space="preserve">Jewelry box </v>
      </c>
      <c r="AA158" t="s">
        <v>1134</v>
      </c>
    </row>
    <row r="159" spans="1:27" ht="15.6" x14ac:dyDescent="0.3">
      <c r="A159" s="2" t="s">
        <v>711</v>
      </c>
      <c r="B159" s="5" t="s">
        <v>712</v>
      </c>
      <c r="C159" s="2" t="s">
        <v>713</v>
      </c>
      <c r="D159" s="2" t="s">
        <v>714</v>
      </c>
      <c r="E159" s="2" t="s">
        <v>247</v>
      </c>
      <c r="F159" s="2" t="s">
        <v>70</v>
      </c>
      <c r="G159" s="2" t="s">
        <v>71</v>
      </c>
      <c r="H159" s="20">
        <v>1</v>
      </c>
      <c r="I159" s="13">
        <v>399</v>
      </c>
      <c r="J159" s="13">
        <v>84.96</v>
      </c>
      <c r="K159" s="2" t="s">
        <v>40</v>
      </c>
      <c r="L159" s="2" t="s">
        <v>22</v>
      </c>
      <c r="M159" t="str">
        <f t="shared" si="10"/>
        <v>Wed 8 Dec 2021 11:54 pm IST</v>
      </c>
      <c r="N159" t="s">
        <v>937</v>
      </c>
      <c r="O159" s="7" t="str">
        <f t="shared" si="12"/>
        <v>Wed 8 Dec 2021 11:54 pm</v>
      </c>
      <c r="P159" s="7">
        <v>44538</v>
      </c>
      <c r="Q159" t="s">
        <v>923</v>
      </c>
      <c r="R159" s="11" t="s">
        <v>713</v>
      </c>
      <c r="S159" t="str">
        <f t="shared" si="11"/>
        <v>BILIMORA</v>
      </c>
      <c r="T159" t="s">
        <v>1045</v>
      </c>
      <c r="U159" t="s">
        <v>1062</v>
      </c>
      <c r="V159" s="25" t="s">
        <v>1074</v>
      </c>
      <c r="W159" s="25">
        <v>84.96</v>
      </c>
      <c r="X159" t="s">
        <v>1109</v>
      </c>
      <c r="Y159" t="s">
        <v>1110</v>
      </c>
      <c r="Z159" s="32" t="str">
        <f t="array" ref="Z159">IF(ISNUMBER(SEARCH("lipstick",G159)),"lipstick cases,","")&amp; IF(ISNUMBER(SEARCH("piggy",G159)),"Piggy coin bank ","")&amp;IF(ISNUMBER(SEARCH("Jewelry",G159)),"Jewelry box ","")&amp; IF(ISNUMBER(SEARCH("clutch",G159)),"Clutch purse,","")&amp; IF(ISNUMBER(SEARCH("wallet",G159)),"Wallet ","")&amp; IF(ISNUMBER(SEARCH("sling",G159)),"Sling bag ", "")&amp; IF(ISNUMBER(SEARCH("shoulder bag",G159)),"Shoulder bag,","")&amp; IF(ISNUMBER(SEARCH("Handbag",G159)),"Handbag","")</f>
        <v xml:space="preserve">Clutch purse,Wallet </v>
      </c>
      <c r="AA159" t="s">
        <v>1135</v>
      </c>
    </row>
    <row r="160" spans="1:27" ht="15.6" x14ac:dyDescent="0.3">
      <c r="A160" s="2" t="s">
        <v>715</v>
      </c>
      <c r="B160" s="5" t="s">
        <v>716</v>
      </c>
      <c r="C160" s="2" t="s">
        <v>717</v>
      </c>
      <c r="D160" s="2" t="s">
        <v>120</v>
      </c>
      <c r="E160" s="2" t="s">
        <v>54</v>
      </c>
      <c r="F160" s="2" t="s">
        <v>718</v>
      </c>
      <c r="G160" s="2" t="s">
        <v>719</v>
      </c>
      <c r="H160" s="20">
        <v>1</v>
      </c>
      <c r="I160" s="13">
        <v>449</v>
      </c>
      <c r="J160" s="13">
        <v>47.2</v>
      </c>
      <c r="K160" s="2" t="s">
        <v>40</v>
      </c>
      <c r="L160" s="2" t="s">
        <v>22</v>
      </c>
      <c r="M160" t="str">
        <f t="shared" si="10"/>
        <v>Thu 17 Feb 2022 9:14 pm IST</v>
      </c>
      <c r="N160" t="s">
        <v>938</v>
      </c>
      <c r="O160" s="7" t="str">
        <f t="shared" si="12"/>
        <v>Thu 17 Feb 2022 9:14 pm</v>
      </c>
      <c r="P160" s="7">
        <v>44609</v>
      </c>
      <c r="Q160" t="s">
        <v>924</v>
      </c>
      <c r="R160" s="11" t="s">
        <v>717</v>
      </c>
      <c r="S160" t="str">
        <f t="shared" si="11"/>
        <v>KOLKATA</v>
      </c>
      <c r="T160" t="s">
        <v>991</v>
      </c>
      <c r="U160" t="s">
        <v>1052</v>
      </c>
      <c r="V160" s="25" t="s">
        <v>1072</v>
      </c>
      <c r="W160" s="25">
        <v>47.2</v>
      </c>
      <c r="X160" t="s">
        <v>1109</v>
      </c>
      <c r="Y160" t="s">
        <v>1110</v>
      </c>
      <c r="Z160" s="32" t="str">
        <f t="array" ref="Z160">IF(ISNUMBER(SEARCH("lipstick",G160)),"lipstick cases,","")&amp; IF(ISNUMBER(SEARCH("piggy",G160)),"Piggy coin bank ","")&amp;IF(ISNUMBER(SEARCH("Jewelry",G160)),"Jewelry box ","")&amp; IF(ISNUMBER(SEARCH("clutch",G160)),"Clutch purse,","")&amp; IF(ISNUMBER(SEARCH("wallet",G160)),"Wallet ","")&amp; IF(ISNUMBER(SEARCH("sling",G160)),"Sling bag ", "")&amp; IF(ISNUMBER(SEARCH("shoulder bag",G160)),"Shoulder bag,","")&amp; IF(ISNUMBER(SEARCH("Handbag",G160)),"Handbag","")</f>
        <v xml:space="preserve">Piggy coin bank </v>
      </c>
      <c r="AA160" t="s">
        <v>1133</v>
      </c>
    </row>
    <row r="161" spans="1:27" ht="15.6" x14ac:dyDescent="0.3">
      <c r="A161" s="2" t="s">
        <v>720</v>
      </c>
      <c r="B161" s="5" t="s">
        <v>721</v>
      </c>
      <c r="C161" s="2" t="s">
        <v>700</v>
      </c>
      <c r="D161" s="2" t="s">
        <v>402</v>
      </c>
      <c r="E161" s="2" t="s">
        <v>102</v>
      </c>
      <c r="F161" s="2" t="s">
        <v>224</v>
      </c>
      <c r="G161" s="2" t="s">
        <v>225</v>
      </c>
      <c r="H161" s="20">
        <v>1</v>
      </c>
      <c r="I161" s="9" t="s">
        <v>21</v>
      </c>
      <c r="J161" s="13">
        <v>84.96</v>
      </c>
      <c r="K161" s="2" t="s">
        <v>40</v>
      </c>
      <c r="L161" s="2" t="s">
        <v>65</v>
      </c>
      <c r="M161" t="str">
        <f t="shared" si="10"/>
        <v>Sun 30 Jan 2022 1:37 pm IST</v>
      </c>
      <c r="N161" t="s">
        <v>935</v>
      </c>
      <c r="O161" s="7" t="str">
        <f t="shared" si="12"/>
        <v>Sun 30 Jan 2022 1:37 pm</v>
      </c>
      <c r="P161" s="7">
        <v>44591</v>
      </c>
      <c r="Q161" t="s">
        <v>846</v>
      </c>
      <c r="R161" s="11" t="s">
        <v>700</v>
      </c>
      <c r="S161" t="str">
        <f t="shared" si="11"/>
        <v>CHENNAI</v>
      </c>
      <c r="T161" t="s">
        <v>1021</v>
      </c>
      <c r="U161" t="s">
        <v>1058</v>
      </c>
      <c r="V161" s="25" t="s">
        <v>21</v>
      </c>
      <c r="W161" s="25">
        <v>84.96</v>
      </c>
      <c r="X161" t="s">
        <v>1109</v>
      </c>
      <c r="Y161" t="s">
        <v>1111</v>
      </c>
      <c r="Z161" s="32" t="str">
        <f t="array" ref="Z161">IF(ISNUMBER(SEARCH("lipstick",G161)),"lipstick cases,","")&amp; IF(ISNUMBER(SEARCH("piggy",G161)),"Piggy coin bank ","")&amp;IF(ISNUMBER(SEARCH("Jewelry",G161)),"Jewelry box ","")&amp; IF(ISNUMBER(SEARCH("clutch",G161)),"Clutch purse,","")&amp; IF(ISNUMBER(SEARCH("wallet",G161)),"Wallet ","")&amp; IF(ISNUMBER(SEARCH("sling",G161)),"Sling bag ", "")&amp; IF(ISNUMBER(SEARCH("shoulder bag",G161)),"Shoulder bag,","")&amp; IF(ISNUMBER(SEARCH("Handbag",G161)),"Handbag","")</f>
        <v xml:space="preserve">Piggy coin bank </v>
      </c>
      <c r="AA161" t="s">
        <v>1134</v>
      </c>
    </row>
    <row r="162" spans="1:27" ht="15.6" x14ac:dyDescent="0.3">
      <c r="A162" s="2" t="s">
        <v>722</v>
      </c>
      <c r="B162" s="5" t="s">
        <v>723</v>
      </c>
      <c r="C162" s="2" t="s">
        <v>724</v>
      </c>
      <c r="D162" s="2" t="s">
        <v>76</v>
      </c>
      <c r="E162" s="2" t="s">
        <v>77</v>
      </c>
      <c r="F162" s="2" t="s">
        <v>28</v>
      </c>
      <c r="G162" s="2" t="s">
        <v>29</v>
      </c>
      <c r="H162" s="20">
        <v>1</v>
      </c>
      <c r="I162" s="13">
        <v>449</v>
      </c>
      <c r="J162" s="13">
        <v>84.96</v>
      </c>
      <c r="K162" s="2" t="s">
        <v>21</v>
      </c>
      <c r="L162" s="2" t="s">
        <v>22</v>
      </c>
      <c r="M162" t="str">
        <f t="shared" ref="M162:M172" si="13">SUBSTITUTE(B162,",","")</f>
        <v>Fri 10 Dec 2021 4:15 pm IST</v>
      </c>
      <c r="N162" t="s">
        <v>941</v>
      </c>
      <c r="O162" s="7" t="str">
        <f t="shared" si="12"/>
        <v>Fri 10 Dec 2021 4:15 pm</v>
      </c>
      <c r="P162" s="7">
        <v>44540</v>
      </c>
      <c r="Q162" t="s">
        <v>894</v>
      </c>
      <c r="R162" s="11" t="s">
        <v>724</v>
      </c>
      <c r="S162" t="str">
        <f t="shared" ref="S162:S172" si="14">SUBSTITUTE(D162,",","")</f>
        <v>BENGALURU</v>
      </c>
      <c r="T162" t="s">
        <v>984</v>
      </c>
      <c r="U162" t="s">
        <v>1054</v>
      </c>
      <c r="V162" s="25" t="s">
        <v>1072</v>
      </c>
      <c r="W162" s="25">
        <v>84.96</v>
      </c>
      <c r="X162" t="s">
        <v>1108</v>
      </c>
      <c r="Y162" t="s">
        <v>1110</v>
      </c>
      <c r="Z162" s="32" t="str">
        <f t="array" ref="Z162">IF(ISNUMBER(SEARCH("lipstick",G162)),"lipstick cases,","")&amp; IF(ISNUMBER(SEARCH("piggy",G162)),"Piggy coin bank ","")&amp;IF(ISNUMBER(SEARCH("Jewelry",G162)),"Jewelry box ","")&amp; IF(ISNUMBER(SEARCH("clutch",G162)),"Clutch purse,","")&amp; IF(ISNUMBER(SEARCH("wallet",G162)),"Wallet ","")&amp; IF(ISNUMBER(SEARCH("sling",G162)),"Sling bag ", "")&amp; IF(ISNUMBER(SEARCH("shoulder bag",G162)),"Shoulder bag,","")&amp; IF(ISNUMBER(SEARCH("Handbag",G162)),"Handbag","")</f>
        <v xml:space="preserve">lipstick cases,Jewelry box </v>
      </c>
      <c r="AA162" t="s">
        <v>1135</v>
      </c>
    </row>
    <row r="163" spans="1:27" ht="15.6" x14ac:dyDescent="0.3">
      <c r="A163" s="2" t="s">
        <v>725</v>
      </c>
      <c r="B163" s="5" t="s">
        <v>726</v>
      </c>
      <c r="C163" s="2" t="s">
        <v>727</v>
      </c>
      <c r="D163" s="2" t="s">
        <v>728</v>
      </c>
      <c r="E163" s="2" t="s">
        <v>62</v>
      </c>
      <c r="F163" s="2" t="s">
        <v>28</v>
      </c>
      <c r="G163" s="2" t="s">
        <v>29</v>
      </c>
      <c r="H163" s="20">
        <v>1</v>
      </c>
      <c r="I163" s="13">
        <v>449</v>
      </c>
      <c r="J163" s="13">
        <v>84.96</v>
      </c>
      <c r="K163" s="2" t="s">
        <v>21</v>
      </c>
      <c r="L163" s="2" t="s">
        <v>22</v>
      </c>
      <c r="M163" t="str">
        <f t="shared" si="13"/>
        <v>Wed 1 Dec 2021 6:53 pm IST</v>
      </c>
      <c r="N163" t="s">
        <v>937</v>
      </c>
      <c r="O163" s="7" t="str">
        <f t="shared" si="12"/>
        <v>Wed 1 Dec 2021 6:53 pm</v>
      </c>
      <c r="P163" s="7">
        <v>44531</v>
      </c>
      <c r="Q163" t="s">
        <v>925</v>
      </c>
      <c r="R163" s="11" t="s">
        <v>975</v>
      </c>
      <c r="S163" t="str">
        <f t="shared" si="14"/>
        <v>KANPUR</v>
      </c>
      <c r="T163" t="s">
        <v>1046</v>
      </c>
      <c r="U163" t="s">
        <v>1053</v>
      </c>
      <c r="V163" s="25" t="s">
        <v>1072</v>
      </c>
      <c r="W163" s="25">
        <v>84.96</v>
      </c>
      <c r="X163" t="s">
        <v>1108</v>
      </c>
      <c r="Y163" t="s">
        <v>1110</v>
      </c>
      <c r="Z163" s="32" t="str">
        <f t="array" ref="Z163">IF(ISNUMBER(SEARCH("lipstick",G163)),"lipstick cases,","")&amp; IF(ISNUMBER(SEARCH("piggy",G163)),"Piggy coin bank ","")&amp;IF(ISNUMBER(SEARCH("Jewelry",G163)),"Jewelry box ","")&amp; IF(ISNUMBER(SEARCH("clutch",G163)),"Clutch purse,","")&amp; IF(ISNUMBER(SEARCH("wallet",G163)),"Wallet ","")&amp; IF(ISNUMBER(SEARCH("sling",G163)),"Sling bag ", "")&amp; IF(ISNUMBER(SEARCH("shoulder bag",G163)),"Shoulder bag,","")&amp; IF(ISNUMBER(SEARCH("Handbag",G163)),"Handbag","")</f>
        <v xml:space="preserve">lipstick cases,Jewelry box </v>
      </c>
      <c r="AA163" t="s">
        <v>1135</v>
      </c>
    </row>
    <row r="164" spans="1:27" ht="15.6" x14ac:dyDescent="0.3">
      <c r="A164" s="2" t="s">
        <v>729</v>
      </c>
      <c r="B164" s="5" t="s">
        <v>730</v>
      </c>
      <c r="C164" s="2" t="s">
        <v>731</v>
      </c>
      <c r="D164" s="2" t="s">
        <v>568</v>
      </c>
      <c r="E164" s="2" t="s">
        <v>45</v>
      </c>
      <c r="F164" s="2" t="s">
        <v>284</v>
      </c>
      <c r="G164" s="2" t="s">
        <v>285</v>
      </c>
      <c r="H164" s="20">
        <v>1</v>
      </c>
      <c r="I164" s="13">
        <v>449</v>
      </c>
      <c r="J164" s="13">
        <v>84.96</v>
      </c>
      <c r="K164" s="2" t="s">
        <v>21</v>
      </c>
      <c r="L164" s="2" t="s">
        <v>22</v>
      </c>
      <c r="M164" t="str">
        <f t="shared" si="13"/>
        <v>Thu 17 Feb 2022 8:47 am IST</v>
      </c>
      <c r="N164" t="s">
        <v>938</v>
      </c>
      <c r="O164" s="7" t="str">
        <f t="shared" si="12"/>
        <v>Thu 17 Feb 2022 8:47 am</v>
      </c>
      <c r="P164" s="7">
        <v>44609</v>
      </c>
      <c r="Q164" t="s">
        <v>926</v>
      </c>
      <c r="R164" s="11" t="s">
        <v>731</v>
      </c>
      <c r="S164" t="str">
        <f t="shared" si="14"/>
        <v>NAVI MUMBAI</v>
      </c>
      <c r="T164" t="s">
        <v>1033</v>
      </c>
      <c r="U164" t="s">
        <v>339</v>
      </c>
      <c r="V164" s="25" t="s">
        <v>1072</v>
      </c>
      <c r="W164" s="25">
        <v>84.96</v>
      </c>
      <c r="X164" t="s">
        <v>1108</v>
      </c>
      <c r="Y164" t="s">
        <v>1110</v>
      </c>
      <c r="Z164" s="32" t="str">
        <f t="array" ref="Z164">IF(ISNUMBER(SEARCH("lipstick",G164)),"lipstick cases,","")&amp; IF(ISNUMBER(SEARCH("piggy",G164)),"Piggy coin bank ","")&amp;IF(ISNUMBER(SEARCH("Jewelry",G164)),"Jewelry box ","")&amp; IF(ISNUMBER(SEARCH("clutch",G164)),"Clutch purse,","")&amp; IF(ISNUMBER(SEARCH("wallet",G164)),"Wallet ","")&amp; IF(ISNUMBER(SEARCH("sling",G164)),"Sling bag ", "")&amp; IF(ISNUMBER(SEARCH("shoulder bag",G164)),"Shoulder bag,","")&amp; IF(ISNUMBER(SEARCH("Handbag",G164)),"Handbag","")</f>
        <v xml:space="preserve">Piggy coin bank </v>
      </c>
      <c r="AA164" t="s">
        <v>1133</v>
      </c>
    </row>
    <row r="165" spans="1:27" ht="15.6" x14ac:dyDescent="0.3">
      <c r="A165" s="2" t="s">
        <v>732</v>
      </c>
      <c r="B165" s="5" t="s">
        <v>733</v>
      </c>
      <c r="C165" s="2" t="s">
        <v>500</v>
      </c>
      <c r="D165" s="2" t="s">
        <v>182</v>
      </c>
      <c r="E165" s="2" t="s">
        <v>183</v>
      </c>
      <c r="F165" s="2" t="s">
        <v>17</v>
      </c>
      <c r="G165" s="2" t="s">
        <v>18</v>
      </c>
      <c r="H165" s="20">
        <v>1</v>
      </c>
      <c r="I165" s="13">
        <v>449</v>
      </c>
      <c r="J165" s="13">
        <v>84.96</v>
      </c>
      <c r="K165" s="2" t="s">
        <v>40</v>
      </c>
      <c r="L165" s="2" t="s">
        <v>22</v>
      </c>
      <c r="M165" t="str">
        <f t="shared" si="13"/>
        <v>Thu 20 Jan 2022 10:57 am IST</v>
      </c>
      <c r="N165" t="s">
        <v>938</v>
      </c>
      <c r="O165" s="7" t="str">
        <f t="shared" si="12"/>
        <v>Thu 20 Jan 2022 10:57 am</v>
      </c>
      <c r="P165" s="7">
        <v>44581</v>
      </c>
      <c r="Q165" t="s">
        <v>927</v>
      </c>
      <c r="R165" s="11" t="s">
        <v>500</v>
      </c>
      <c r="S165" t="str">
        <f t="shared" si="14"/>
        <v>NEW DELHI</v>
      </c>
      <c r="T165" t="s">
        <v>999</v>
      </c>
      <c r="U165" t="s">
        <v>1059</v>
      </c>
      <c r="V165" s="25" t="s">
        <v>1072</v>
      </c>
      <c r="W165" s="25">
        <v>84.96</v>
      </c>
      <c r="X165" t="s">
        <v>1109</v>
      </c>
      <c r="Y165" t="s">
        <v>1110</v>
      </c>
      <c r="Z165" s="32" t="str">
        <f t="array" ref="Z165">IF(ISNUMBER(SEARCH("lipstick",G165)),"lipstick cases,","")&amp; IF(ISNUMBER(SEARCH("piggy",G165)),"Piggy coin bank ","")&amp;IF(ISNUMBER(SEARCH("Jewelry",G165)),"Jewelry box ","")&amp; IF(ISNUMBER(SEARCH("clutch",G165)),"Clutch purse,","")&amp; IF(ISNUMBER(SEARCH("wallet",G165)),"Wallet ","")&amp; IF(ISNUMBER(SEARCH("sling",G165)),"Sling bag ", "")&amp; IF(ISNUMBER(SEARCH("shoulder bag",G165)),"Shoulder bag,","")&amp; IF(ISNUMBER(SEARCH("Handbag",G165)),"Handbag","")</f>
        <v xml:space="preserve">Piggy coin bank </v>
      </c>
      <c r="AA165" t="s">
        <v>1134</v>
      </c>
    </row>
    <row r="166" spans="1:27" ht="15.6" x14ac:dyDescent="0.3">
      <c r="A166" s="2" t="s">
        <v>734</v>
      </c>
      <c r="B166" s="5" t="s">
        <v>735</v>
      </c>
      <c r="C166" s="2" t="s">
        <v>709</v>
      </c>
      <c r="D166" s="2" t="s">
        <v>607</v>
      </c>
      <c r="E166" s="2" t="s">
        <v>736</v>
      </c>
      <c r="F166" s="2" t="s">
        <v>78</v>
      </c>
      <c r="G166" s="2" t="s">
        <v>79</v>
      </c>
      <c r="H166" s="20">
        <v>1</v>
      </c>
      <c r="I166" s="13">
        <v>399</v>
      </c>
      <c r="J166" s="13">
        <v>84.96</v>
      </c>
      <c r="K166" s="2" t="s">
        <v>21</v>
      </c>
      <c r="L166" s="2" t="s">
        <v>22</v>
      </c>
      <c r="M166" t="str">
        <f t="shared" si="13"/>
        <v>Sat 4 Dec 2021 10:28 pm IST</v>
      </c>
      <c r="N166" t="s">
        <v>939</v>
      </c>
      <c r="O166" s="7" t="str">
        <f t="shared" si="12"/>
        <v>Sat 4 Dec 2021 10:28 pm</v>
      </c>
      <c r="P166" s="7">
        <v>44534</v>
      </c>
      <c r="Q166" t="s">
        <v>928</v>
      </c>
      <c r="R166" s="11" t="s">
        <v>709</v>
      </c>
      <c r="S166" t="str">
        <f t="shared" si="14"/>
        <v>Visakhapatnam</v>
      </c>
      <c r="T166" t="s">
        <v>998</v>
      </c>
      <c r="U166" t="s">
        <v>736</v>
      </c>
      <c r="V166" s="25" t="s">
        <v>1074</v>
      </c>
      <c r="W166" s="25">
        <v>84.96</v>
      </c>
      <c r="X166" t="s">
        <v>1108</v>
      </c>
      <c r="Y166" t="s">
        <v>1110</v>
      </c>
      <c r="Z166" s="32" t="str">
        <f t="array" ref="Z166">IF(ISNUMBER(SEARCH("lipstick",G166)),"lipstick cases,","")&amp; IF(ISNUMBER(SEARCH("piggy",G166)),"Piggy coin bank ","")&amp;IF(ISNUMBER(SEARCH("Jewelry",G166)),"Jewelry box ","")&amp; IF(ISNUMBER(SEARCH("clutch",G166)),"Clutch purse,","")&amp; IF(ISNUMBER(SEARCH("wallet",G166)),"Wallet ","")&amp; IF(ISNUMBER(SEARCH("sling",G166)),"Sling bag ", "")&amp; IF(ISNUMBER(SEARCH("shoulder bag",G166)),"Shoulder bag,","")&amp; IF(ISNUMBER(SEARCH("Handbag",G166)),"Handbag","")</f>
        <v xml:space="preserve">Jewelry box </v>
      </c>
      <c r="AA166" t="s">
        <v>1135</v>
      </c>
    </row>
    <row r="167" spans="1:27" ht="15.6" x14ac:dyDescent="0.3">
      <c r="A167" s="2" t="s">
        <v>737</v>
      </c>
      <c r="B167" s="5" t="s">
        <v>738</v>
      </c>
      <c r="C167" s="2" t="s">
        <v>739</v>
      </c>
      <c r="D167" s="2" t="s">
        <v>740</v>
      </c>
      <c r="E167" s="2" t="s">
        <v>741</v>
      </c>
      <c r="F167" s="2" t="s">
        <v>70</v>
      </c>
      <c r="G167" s="2" t="s">
        <v>71</v>
      </c>
      <c r="H167" s="20">
        <v>1</v>
      </c>
      <c r="I167" s="13">
        <v>399</v>
      </c>
      <c r="J167" s="13">
        <v>84.96</v>
      </c>
      <c r="K167" s="2" t="s">
        <v>21</v>
      </c>
      <c r="L167" s="2" t="s">
        <v>22</v>
      </c>
      <c r="M167" t="str">
        <f t="shared" si="13"/>
        <v>Sat 25 Dec 2021 4:03 pm IST</v>
      </c>
      <c r="N167" t="s">
        <v>939</v>
      </c>
      <c r="O167" s="7" t="str">
        <f t="shared" si="12"/>
        <v>Sat 25 Dec 2021 4:03 pm</v>
      </c>
      <c r="P167" s="7">
        <v>44555</v>
      </c>
      <c r="Q167" t="s">
        <v>929</v>
      </c>
      <c r="R167" s="11" t="s">
        <v>739</v>
      </c>
      <c r="S167" t="str">
        <f t="shared" si="14"/>
        <v>Solan</v>
      </c>
      <c r="T167" t="s">
        <v>1047</v>
      </c>
      <c r="U167" t="s">
        <v>741</v>
      </c>
      <c r="V167" s="25" t="s">
        <v>1074</v>
      </c>
      <c r="W167" s="25">
        <v>84.96</v>
      </c>
      <c r="X167" t="s">
        <v>1108</v>
      </c>
      <c r="Y167" t="s">
        <v>1110</v>
      </c>
      <c r="Z167" s="32" t="str">
        <f t="array" ref="Z167">IF(ISNUMBER(SEARCH("lipstick",G167)),"lipstick cases,","")&amp; IF(ISNUMBER(SEARCH("piggy",G167)),"Piggy coin bank ","")&amp;IF(ISNUMBER(SEARCH("Jewelry",G167)),"Jewelry box ","")&amp; IF(ISNUMBER(SEARCH("clutch",G167)),"Clutch purse,","")&amp; IF(ISNUMBER(SEARCH("wallet",G167)),"Wallet ","")&amp; IF(ISNUMBER(SEARCH("sling",G167)),"Sling bag ", "")&amp; IF(ISNUMBER(SEARCH("shoulder bag",G167)),"Shoulder bag,","")&amp; IF(ISNUMBER(SEARCH("Handbag",G167)),"Handbag","")</f>
        <v xml:space="preserve">Clutch purse,Wallet </v>
      </c>
      <c r="AA167" t="s">
        <v>1135</v>
      </c>
    </row>
    <row r="168" spans="1:27" ht="15.6" x14ac:dyDescent="0.3">
      <c r="A168" s="2" t="s">
        <v>742</v>
      </c>
      <c r="B168" s="5" t="s">
        <v>743</v>
      </c>
      <c r="C168" s="2" t="s">
        <v>638</v>
      </c>
      <c r="D168" s="2" t="s">
        <v>44</v>
      </c>
      <c r="E168" s="2" t="s">
        <v>45</v>
      </c>
      <c r="F168" s="2" t="s">
        <v>28</v>
      </c>
      <c r="G168" s="2" t="s">
        <v>29</v>
      </c>
      <c r="H168" s="20">
        <v>3</v>
      </c>
      <c r="I168" s="13">
        <v>1347</v>
      </c>
      <c r="J168" s="13">
        <v>84.96</v>
      </c>
      <c r="K168" s="2" t="s">
        <v>40</v>
      </c>
      <c r="L168" s="2" t="s">
        <v>22</v>
      </c>
      <c r="M168" t="str">
        <f t="shared" si="13"/>
        <v>Mon 13 Dec 2021 11:30 am IST</v>
      </c>
      <c r="N168" t="s">
        <v>940</v>
      </c>
      <c r="O168" s="7" t="str">
        <f t="shared" si="12"/>
        <v>Mon 13 Dec 2021 11:30 am</v>
      </c>
      <c r="P168" s="7">
        <v>44543</v>
      </c>
      <c r="Q168" t="s">
        <v>930</v>
      </c>
      <c r="R168" s="11" t="s">
        <v>638</v>
      </c>
      <c r="S168" t="str">
        <f t="shared" si="14"/>
        <v>MUMBAI</v>
      </c>
      <c r="T168" t="s">
        <v>980</v>
      </c>
      <c r="U168" t="s">
        <v>339</v>
      </c>
      <c r="V168" s="25" t="s">
        <v>1081</v>
      </c>
      <c r="W168" s="25">
        <v>84.96</v>
      </c>
      <c r="X168" t="s">
        <v>1109</v>
      </c>
      <c r="Y168" t="s">
        <v>1110</v>
      </c>
      <c r="Z168" s="32" t="str">
        <f t="array" ref="Z168">IF(ISNUMBER(SEARCH("lipstick",G168)),"lipstick cases,","")&amp; IF(ISNUMBER(SEARCH("piggy",G168)),"Piggy coin bank ","")&amp;IF(ISNUMBER(SEARCH("Jewelry",G168)),"Jewelry box ","")&amp; IF(ISNUMBER(SEARCH("clutch",G168)),"Clutch purse,","")&amp; IF(ISNUMBER(SEARCH("wallet",G168)),"Wallet ","")&amp; IF(ISNUMBER(SEARCH("sling",G168)),"Sling bag ", "")&amp; IF(ISNUMBER(SEARCH("shoulder bag",G168)),"Shoulder bag,","")&amp; IF(ISNUMBER(SEARCH("Handbag",G168)),"Handbag","")</f>
        <v xml:space="preserve">lipstick cases,Jewelry box </v>
      </c>
      <c r="AA168" t="s">
        <v>1135</v>
      </c>
    </row>
    <row r="169" spans="1:27" ht="15.6" x14ac:dyDescent="0.3">
      <c r="A169" s="2" t="s">
        <v>744</v>
      </c>
      <c r="B169" s="5" t="s">
        <v>745</v>
      </c>
      <c r="C169" s="2" t="s">
        <v>746</v>
      </c>
      <c r="D169" s="2" t="s">
        <v>747</v>
      </c>
      <c r="E169" s="2" t="s">
        <v>748</v>
      </c>
      <c r="F169" s="2" t="s">
        <v>321</v>
      </c>
      <c r="G169" s="2" t="s">
        <v>322</v>
      </c>
      <c r="H169" s="20">
        <v>1</v>
      </c>
      <c r="I169" s="13">
        <v>1299</v>
      </c>
      <c r="J169" s="13">
        <v>114.46</v>
      </c>
      <c r="K169" s="2" t="s">
        <v>21</v>
      </c>
      <c r="L169" s="2" t="s">
        <v>22</v>
      </c>
      <c r="M169" t="str">
        <f t="shared" si="13"/>
        <v>Wed 1 Dec 2021 12:18 pm IST</v>
      </c>
      <c r="N169" t="s">
        <v>937</v>
      </c>
      <c r="O169" s="7" t="str">
        <f t="shared" si="12"/>
        <v>Wed 1 Dec 2021 12:18 pm</v>
      </c>
      <c r="P169" s="7">
        <v>44531</v>
      </c>
      <c r="Q169" t="s">
        <v>931</v>
      </c>
      <c r="R169" s="11" t="s">
        <v>746</v>
      </c>
      <c r="S169" t="str">
        <f t="shared" si="14"/>
        <v>DEHRADUN</v>
      </c>
      <c r="T169" t="s">
        <v>1048</v>
      </c>
      <c r="U169" t="s">
        <v>1070</v>
      </c>
      <c r="V169" s="25" t="s">
        <v>1078</v>
      </c>
      <c r="W169" s="25">
        <v>114.46</v>
      </c>
      <c r="X169" t="s">
        <v>1108</v>
      </c>
      <c r="Y169" t="s">
        <v>1110</v>
      </c>
      <c r="Z169" s="32" t="str">
        <f t="array" ref="Z169">IF(ISNUMBER(SEARCH("lipstick",G169)),"lipstick cases,","")&amp; IF(ISNUMBER(SEARCH("piggy",G169)),"Piggy coin bank ","")&amp;IF(ISNUMBER(SEARCH("Jewelry",G169)),"Jewelry box ","")&amp; IF(ISNUMBER(SEARCH("clutch",G169)),"Clutch purse,","")&amp; IF(ISNUMBER(SEARCH("wallet",G169)),"Wallet ","")&amp; IF(ISNUMBER(SEARCH("sling",G169)),"Sling bag ", "")&amp; IF(ISNUMBER(SEARCH("shoulder bag",G169)),"Shoulder bag,","")&amp; IF(ISNUMBER(SEARCH("Handbag",G169)),"Handbag","")</f>
        <v>Shoulder bag,Handbag</v>
      </c>
      <c r="AA169" t="s">
        <v>1135</v>
      </c>
    </row>
    <row r="170" spans="1:27" ht="15.6" x14ac:dyDescent="0.3">
      <c r="A170" s="2" t="s">
        <v>749</v>
      </c>
      <c r="B170" s="5" t="s">
        <v>750</v>
      </c>
      <c r="C170" s="2" t="s">
        <v>751</v>
      </c>
      <c r="D170" s="2" t="s">
        <v>752</v>
      </c>
      <c r="E170" s="2" t="s">
        <v>84</v>
      </c>
      <c r="F170" s="2" t="s">
        <v>321</v>
      </c>
      <c r="G170" s="2" t="s">
        <v>322</v>
      </c>
      <c r="H170" s="20">
        <v>1</v>
      </c>
      <c r="I170" s="13">
        <v>1299</v>
      </c>
      <c r="J170" s="13">
        <v>105.02</v>
      </c>
      <c r="K170" s="2" t="s">
        <v>21</v>
      </c>
      <c r="L170" s="2" t="s">
        <v>22</v>
      </c>
      <c r="M170" t="str">
        <f t="shared" si="13"/>
        <v>Thu 9 Dec 2021 6:55 pm IST</v>
      </c>
      <c r="N170" t="s">
        <v>938</v>
      </c>
      <c r="O170" s="7" t="str">
        <f t="shared" si="12"/>
        <v>Thu 9 Dec 2021 6:55 pm</v>
      </c>
      <c r="P170" s="7">
        <v>44539</v>
      </c>
      <c r="Q170" t="s">
        <v>932</v>
      </c>
      <c r="R170" s="11" t="s">
        <v>976</v>
      </c>
      <c r="S170" t="str">
        <f t="shared" si="14"/>
        <v>Durg</v>
      </c>
      <c r="T170" t="s">
        <v>1049</v>
      </c>
      <c r="U170" t="s">
        <v>1055</v>
      </c>
      <c r="V170" s="25" t="s">
        <v>1078</v>
      </c>
      <c r="W170" s="25">
        <v>105.02</v>
      </c>
      <c r="X170" t="s">
        <v>1108</v>
      </c>
      <c r="Y170" t="s">
        <v>1110</v>
      </c>
      <c r="Z170" s="32" t="str">
        <f t="array" ref="Z170">IF(ISNUMBER(SEARCH("lipstick",G170)),"lipstick cases,","")&amp; IF(ISNUMBER(SEARCH("piggy",G170)),"Piggy coin bank ","")&amp;IF(ISNUMBER(SEARCH("Jewelry",G170)),"Jewelry box ","")&amp; IF(ISNUMBER(SEARCH("clutch",G170)),"Clutch purse,","")&amp; IF(ISNUMBER(SEARCH("wallet",G170)),"Wallet ","")&amp; IF(ISNUMBER(SEARCH("sling",G170)),"Sling bag ", "")&amp; IF(ISNUMBER(SEARCH("shoulder bag",G170)),"Shoulder bag,","")&amp; IF(ISNUMBER(SEARCH("Handbag",G170)),"Handbag","")</f>
        <v>Shoulder bag,Handbag</v>
      </c>
      <c r="AA170" t="s">
        <v>1135</v>
      </c>
    </row>
    <row r="171" spans="1:27" ht="15.6" x14ac:dyDescent="0.3">
      <c r="A171" s="2" t="s">
        <v>754</v>
      </c>
      <c r="B171" s="5" t="s">
        <v>755</v>
      </c>
      <c r="C171" s="2" t="s">
        <v>756</v>
      </c>
      <c r="D171" s="2" t="s">
        <v>120</v>
      </c>
      <c r="E171" s="2" t="s">
        <v>54</v>
      </c>
      <c r="F171" s="2" t="s">
        <v>757</v>
      </c>
      <c r="G171" s="2" t="s">
        <v>758</v>
      </c>
      <c r="H171" s="20">
        <v>1</v>
      </c>
      <c r="I171" s="13">
        <v>1499</v>
      </c>
      <c r="J171" s="13">
        <v>80.239999999999995</v>
      </c>
      <c r="K171" s="2" t="s">
        <v>40</v>
      </c>
      <c r="L171" s="2" t="s">
        <v>22</v>
      </c>
      <c r="M171" t="str">
        <f t="shared" si="13"/>
        <v>Wed 23 Feb 2022 12:43 am IST</v>
      </c>
      <c r="N171" t="s">
        <v>937</v>
      </c>
      <c r="O171" s="7" t="str">
        <f t="shared" si="12"/>
        <v>Wed 23 Feb 2022 12:43 am</v>
      </c>
      <c r="P171" s="7">
        <v>44615</v>
      </c>
      <c r="Q171" t="s">
        <v>908</v>
      </c>
      <c r="R171" s="11" t="s">
        <v>756</v>
      </c>
      <c r="S171" t="str">
        <f t="shared" si="14"/>
        <v>KOLKATA</v>
      </c>
      <c r="T171" t="s">
        <v>991</v>
      </c>
      <c r="U171" t="s">
        <v>1052</v>
      </c>
      <c r="V171" s="25" t="s">
        <v>1085</v>
      </c>
      <c r="W171" s="25">
        <v>80.239999999999995</v>
      </c>
      <c r="X171" t="s">
        <v>1109</v>
      </c>
      <c r="Y171" t="s">
        <v>1110</v>
      </c>
      <c r="Z171" s="32" t="str">
        <f t="array" ref="Z171">IF(ISNUMBER(SEARCH("lipstick",G171)),"lipstick cases,","")&amp; IF(ISNUMBER(SEARCH("piggy",G171)),"Piggy coin bank ","")&amp;IF(ISNUMBER(SEARCH("Jewelry",G171)),"Jewelry box ","")&amp; IF(ISNUMBER(SEARCH("clutch",G171)),"Clutch purse,","")&amp; IF(ISNUMBER(SEARCH("wallet",G171)),"Wallet ","")&amp; IF(ISNUMBER(SEARCH("sling",G171)),"Sling bag ", "")&amp; IF(ISNUMBER(SEARCH("shoulder bag",G171)),"Shoulder bag,","")&amp; IF(ISNUMBER(SEARCH("Handbag",G171)),"Handbag","")</f>
        <v>Shoulder bag,</v>
      </c>
      <c r="AA171" t="s">
        <v>1133</v>
      </c>
    </row>
    <row r="172" spans="1:27" ht="15.6" x14ac:dyDescent="0.3">
      <c r="A172" s="2" t="s">
        <v>759</v>
      </c>
      <c r="B172" s="5" t="s">
        <v>760</v>
      </c>
      <c r="C172" s="2" t="s">
        <v>761</v>
      </c>
      <c r="D172" s="2" t="s">
        <v>44</v>
      </c>
      <c r="E172" s="2" t="s">
        <v>45</v>
      </c>
      <c r="F172" s="2" t="s">
        <v>17</v>
      </c>
      <c r="G172" s="2" t="s">
        <v>18</v>
      </c>
      <c r="H172" s="20">
        <v>1</v>
      </c>
      <c r="I172" s="13">
        <v>449</v>
      </c>
      <c r="J172" s="13">
        <v>84.96</v>
      </c>
      <c r="K172" s="2" t="s">
        <v>21</v>
      </c>
      <c r="L172" s="2" t="s">
        <v>22</v>
      </c>
      <c r="M172" t="str">
        <f t="shared" si="13"/>
        <v>Sun 26 Dec 2021 6:21 pm IST</v>
      </c>
      <c r="N172" t="s">
        <v>935</v>
      </c>
      <c r="O172" s="7" t="str">
        <f t="shared" si="12"/>
        <v>Sun 26 Dec 2021 6:21 pm</v>
      </c>
      <c r="P172" s="7">
        <v>44556</v>
      </c>
      <c r="Q172" t="s">
        <v>933</v>
      </c>
      <c r="R172" s="11" t="s">
        <v>761</v>
      </c>
      <c r="S172" t="str">
        <f t="shared" si="14"/>
        <v>MUMBAI</v>
      </c>
      <c r="T172" t="s">
        <v>980</v>
      </c>
      <c r="U172" t="s">
        <v>339</v>
      </c>
      <c r="V172" s="25" t="s">
        <v>1072</v>
      </c>
      <c r="W172" s="25">
        <v>84.96</v>
      </c>
      <c r="X172" t="s">
        <v>1108</v>
      </c>
      <c r="Y172" t="s">
        <v>1110</v>
      </c>
      <c r="Z172" s="32" t="str">
        <f t="array" ref="Z172">IF(ISNUMBER(SEARCH("lipstick",G172)),"lipstick cases,","")&amp; IF(ISNUMBER(SEARCH("piggy",G172)),"Piggy coin bank ","")&amp;IF(ISNUMBER(SEARCH("Jewelry",G172)),"Jewelry box ","")&amp; IF(ISNUMBER(SEARCH("clutch",G172)),"Clutch purse,","")&amp; IF(ISNUMBER(SEARCH("wallet",G172)),"Wallet ","")&amp; IF(ISNUMBER(SEARCH("sling",G172)),"Sling bag ", "")&amp; IF(ISNUMBER(SEARCH("shoulder bag",G172)),"Shoulder bag,","")&amp; IF(ISNUMBER(SEARCH("Handbag",G172)),"Handbag","")</f>
        <v xml:space="preserve">Piggy coin bank </v>
      </c>
      <c r="AA172" t="s">
        <v>1135</v>
      </c>
    </row>
    <row r="173" spans="1:27" ht="15.6" x14ac:dyDescent="0.3">
      <c r="J173" s="14"/>
      <c r="R173" s="11" t="s">
        <v>21</v>
      </c>
    </row>
    <row r="174" spans="1:27" x14ac:dyDescent="0.3">
      <c r="J174" s="14"/>
    </row>
    <row r="1874" spans="22:22" x14ac:dyDescent="0.3">
      <c r="V1874" s="25">
        <v>9999</v>
      </c>
    </row>
  </sheetData>
  <conditionalFormatting sqref="A1:A1048576">
    <cfRule type="duplicateValues" dxfId="17" priority="2"/>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1899"/>
  <sheetViews>
    <sheetView topLeftCell="A2" zoomScale="87" zoomScaleNormal="87" workbookViewId="0">
      <selection activeCell="B1" sqref="B1"/>
    </sheetView>
  </sheetViews>
  <sheetFormatPr defaultRowHeight="15.6" x14ac:dyDescent="0.3"/>
  <cols>
    <col min="1" max="1" width="22" customWidth="1"/>
    <col min="2" max="2" width="15.5546875" style="7" customWidth="1"/>
    <col min="3" max="3" width="15.21875" style="39" customWidth="1"/>
    <col min="4" max="4" width="15.44140625" style="23" customWidth="1"/>
    <col min="5" max="5" width="17.6640625" style="23" customWidth="1"/>
    <col min="6" max="6" width="13.44140625" style="18" customWidth="1"/>
    <col min="7" max="7" width="17" style="23" customWidth="1"/>
    <col min="8" max="8" width="19.5546875" style="23" customWidth="1"/>
    <col min="9" max="9" width="22" customWidth="1"/>
    <col min="10" max="10" width="12.5546875" style="21" customWidth="1"/>
    <col min="11" max="11" width="15.44140625" style="27" customWidth="1"/>
    <col min="12" max="12" width="11.77734375" style="27" customWidth="1"/>
    <col min="13" max="13" width="12.109375" style="23" customWidth="1"/>
    <col min="14" max="14" width="17.5546875" style="23" customWidth="1"/>
    <col min="15" max="15" width="25.6640625" style="23" customWidth="1"/>
  </cols>
  <sheetData>
    <row r="1" spans="1:15" x14ac:dyDescent="0.3">
      <c r="A1" s="3" t="s">
        <v>934</v>
      </c>
      <c r="B1" s="15" t="s">
        <v>777</v>
      </c>
      <c r="C1" s="38" t="s">
        <v>778</v>
      </c>
      <c r="D1" s="6" t="s">
        <v>779</v>
      </c>
      <c r="E1" s="6" t="s">
        <v>1126</v>
      </c>
      <c r="F1" s="17" t="s">
        <v>767</v>
      </c>
      <c r="G1" s="22" t="s">
        <v>768</v>
      </c>
      <c r="H1" s="22" t="s">
        <v>771</v>
      </c>
      <c r="I1" s="3" t="s">
        <v>1071</v>
      </c>
      <c r="J1" s="19" t="s">
        <v>1107</v>
      </c>
      <c r="K1" s="26" t="s">
        <v>773</v>
      </c>
      <c r="L1" s="26" t="s">
        <v>774</v>
      </c>
      <c r="M1" s="22" t="s">
        <v>775</v>
      </c>
      <c r="N1" s="22" t="s">
        <v>776</v>
      </c>
      <c r="O1" s="23" t="s">
        <v>1117</v>
      </c>
    </row>
    <row r="2" spans="1:15" x14ac:dyDescent="0.3">
      <c r="A2" s="2" t="s">
        <v>12</v>
      </c>
      <c r="B2" s="7">
        <v>44395</v>
      </c>
      <c r="C2" s="39" t="s">
        <v>780</v>
      </c>
      <c r="D2" s="23" t="s">
        <v>935</v>
      </c>
      <c r="E2" t="s">
        <v>1127</v>
      </c>
      <c r="F2" s="11" t="s">
        <v>14</v>
      </c>
      <c r="G2" s="23" t="s">
        <v>977</v>
      </c>
      <c r="H2" s="23" t="s">
        <v>977</v>
      </c>
      <c r="I2" s="2" t="s">
        <v>17</v>
      </c>
      <c r="J2" s="20">
        <v>1</v>
      </c>
      <c r="K2" s="28">
        <v>449</v>
      </c>
      <c r="M2" s="23" t="s">
        <v>1108</v>
      </c>
      <c r="N2" s="23" t="s">
        <v>1110</v>
      </c>
      <c r="O2" s="23" t="s">
        <v>1114</v>
      </c>
    </row>
    <row r="3" spans="1:15" x14ac:dyDescent="0.3">
      <c r="A3" s="2" t="s">
        <v>23</v>
      </c>
      <c r="B3" s="7">
        <v>44488</v>
      </c>
      <c r="C3" s="39" t="s">
        <v>781</v>
      </c>
      <c r="D3" s="23" t="s">
        <v>936</v>
      </c>
      <c r="E3" t="s">
        <v>1128</v>
      </c>
      <c r="F3" s="11" t="s">
        <v>25</v>
      </c>
      <c r="G3" s="23" t="s">
        <v>978</v>
      </c>
      <c r="H3" s="23" t="s">
        <v>1050</v>
      </c>
      <c r="I3" s="2" t="s">
        <v>28</v>
      </c>
      <c r="J3" s="20">
        <v>1</v>
      </c>
      <c r="K3" s="28">
        <v>449</v>
      </c>
      <c r="L3" s="27">
        <v>60.18</v>
      </c>
      <c r="M3" s="23" t="s">
        <v>1108</v>
      </c>
      <c r="N3" s="23" t="s">
        <v>1110</v>
      </c>
      <c r="O3" s="23" t="s">
        <v>1119</v>
      </c>
    </row>
    <row r="4" spans="1:15" x14ac:dyDescent="0.3">
      <c r="A4" s="2" t="s">
        <v>31</v>
      </c>
      <c r="B4" s="7">
        <v>44528</v>
      </c>
      <c r="C4" s="39" t="s">
        <v>782</v>
      </c>
      <c r="D4" s="23" t="s">
        <v>935</v>
      </c>
      <c r="E4" t="s">
        <v>1129</v>
      </c>
      <c r="F4" s="11" t="s">
        <v>942</v>
      </c>
      <c r="G4" s="23" t="s">
        <v>978</v>
      </c>
      <c r="H4" s="23" t="s">
        <v>1050</v>
      </c>
      <c r="I4" s="2" t="s">
        <v>28</v>
      </c>
      <c r="J4" s="20">
        <v>1</v>
      </c>
      <c r="K4" s="28">
        <v>449</v>
      </c>
      <c r="L4" s="29">
        <v>60.18</v>
      </c>
      <c r="M4" s="23" t="s">
        <v>1108</v>
      </c>
      <c r="N4" s="23" t="s">
        <v>1110</v>
      </c>
      <c r="O4" s="23" t="s">
        <v>1119</v>
      </c>
    </row>
    <row r="5" spans="1:15" x14ac:dyDescent="0.3">
      <c r="A5" s="2" t="s">
        <v>33</v>
      </c>
      <c r="B5" s="7">
        <v>44405</v>
      </c>
      <c r="C5" s="39" t="s">
        <v>783</v>
      </c>
      <c r="D5" s="23" t="s">
        <v>937</v>
      </c>
      <c r="E5" t="s">
        <v>1127</v>
      </c>
      <c r="F5" s="11" t="s">
        <v>943</v>
      </c>
      <c r="G5" s="23" t="s">
        <v>979</v>
      </c>
      <c r="H5" s="23" t="s">
        <v>1051</v>
      </c>
      <c r="I5" s="2" t="s">
        <v>38</v>
      </c>
      <c r="J5" s="20">
        <v>1</v>
      </c>
      <c r="K5" s="28" t="s">
        <v>21</v>
      </c>
      <c r="M5" s="23" t="s">
        <v>1109</v>
      </c>
      <c r="N5" s="23" t="s">
        <v>1110</v>
      </c>
      <c r="O5" s="23" t="s">
        <v>1120</v>
      </c>
    </row>
    <row r="6" spans="1:15" x14ac:dyDescent="0.3">
      <c r="A6" s="2" t="s">
        <v>41</v>
      </c>
      <c r="B6" s="7">
        <v>44467</v>
      </c>
      <c r="C6" s="39" t="s">
        <v>784</v>
      </c>
      <c r="D6" s="23" t="s">
        <v>936</v>
      </c>
      <c r="E6" t="s">
        <v>1130</v>
      </c>
      <c r="F6" s="11" t="s">
        <v>43</v>
      </c>
      <c r="G6" s="23" t="s">
        <v>980</v>
      </c>
      <c r="H6" s="23" t="s">
        <v>339</v>
      </c>
      <c r="I6" s="2" t="s">
        <v>46</v>
      </c>
      <c r="J6" s="20">
        <v>1</v>
      </c>
      <c r="K6" s="28">
        <v>1099</v>
      </c>
      <c r="L6" s="28">
        <v>84.96</v>
      </c>
      <c r="M6" s="23" t="s">
        <v>1108</v>
      </c>
      <c r="N6" s="23" t="s">
        <v>1110</v>
      </c>
      <c r="O6" s="23" t="s">
        <v>1115</v>
      </c>
    </row>
    <row r="7" spans="1:15" x14ac:dyDescent="0.3">
      <c r="A7" s="2" t="s">
        <v>50</v>
      </c>
      <c r="B7" s="7">
        <v>44364</v>
      </c>
      <c r="C7" s="39" t="s">
        <v>785</v>
      </c>
      <c r="D7" s="23" t="s">
        <v>938</v>
      </c>
      <c r="E7" t="s">
        <v>1131</v>
      </c>
      <c r="F7" s="11" t="s">
        <v>52</v>
      </c>
      <c r="G7" s="23" t="s">
        <v>981</v>
      </c>
      <c r="H7" s="23" t="s">
        <v>1052</v>
      </c>
      <c r="I7" s="2" t="s">
        <v>55</v>
      </c>
      <c r="J7" s="20">
        <v>1</v>
      </c>
      <c r="K7" s="28">
        <v>200</v>
      </c>
      <c r="L7" s="29">
        <v>84.97</v>
      </c>
      <c r="M7" s="23" t="s">
        <v>1108</v>
      </c>
      <c r="N7" s="23" t="s">
        <v>1110</v>
      </c>
      <c r="O7" s="23" t="s">
        <v>1121</v>
      </c>
    </row>
    <row r="8" spans="1:15" x14ac:dyDescent="0.3">
      <c r="A8" s="2" t="s">
        <v>58</v>
      </c>
      <c r="B8" s="7">
        <v>44420</v>
      </c>
      <c r="C8" s="39" t="s">
        <v>786</v>
      </c>
      <c r="D8" s="23" t="s">
        <v>938</v>
      </c>
      <c r="E8" t="s">
        <v>1132</v>
      </c>
      <c r="F8" s="11" t="s">
        <v>944</v>
      </c>
      <c r="G8" s="23" t="s">
        <v>982</v>
      </c>
      <c r="H8" s="23" t="s">
        <v>1053</v>
      </c>
      <c r="I8" s="2" t="s">
        <v>63</v>
      </c>
      <c r="J8" s="20">
        <v>1</v>
      </c>
      <c r="K8" s="28" t="s">
        <v>21</v>
      </c>
      <c r="L8" s="29">
        <v>84.98</v>
      </c>
      <c r="M8" s="23" t="s">
        <v>1109</v>
      </c>
      <c r="N8" s="23" t="s">
        <v>1111</v>
      </c>
      <c r="O8" s="23" t="s">
        <v>1122</v>
      </c>
    </row>
    <row r="9" spans="1:15" x14ac:dyDescent="0.3">
      <c r="A9" s="2" t="s">
        <v>66</v>
      </c>
      <c r="B9" s="7">
        <v>44468</v>
      </c>
      <c r="C9" s="39" t="s">
        <v>787</v>
      </c>
      <c r="D9" s="23" t="s">
        <v>937</v>
      </c>
      <c r="E9" t="s">
        <v>1130</v>
      </c>
      <c r="F9" s="11" t="s">
        <v>68</v>
      </c>
      <c r="G9" s="23" t="s">
        <v>983</v>
      </c>
      <c r="H9" s="23" t="s">
        <v>1053</v>
      </c>
      <c r="I9" s="2" t="s">
        <v>70</v>
      </c>
      <c r="J9" s="20">
        <v>1</v>
      </c>
      <c r="K9" s="28">
        <v>399</v>
      </c>
      <c r="L9" s="29">
        <v>84.99</v>
      </c>
      <c r="M9" s="23" t="s">
        <v>1109</v>
      </c>
      <c r="N9" s="23" t="s">
        <v>1110</v>
      </c>
      <c r="O9" s="23" t="s">
        <v>1121</v>
      </c>
    </row>
    <row r="10" spans="1:15" x14ac:dyDescent="0.3">
      <c r="A10" s="2" t="s">
        <v>73</v>
      </c>
      <c r="B10" s="7">
        <v>44513</v>
      </c>
      <c r="C10" s="39" t="s">
        <v>788</v>
      </c>
      <c r="D10" s="23" t="s">
        <v>939</v>
      </c>
      <c r="E10" t="s">
        <v>1129</v>
      </c>
      <c r="F10" s="11" t="s">
        <v>75</v>
      </c>
      <c r="G10" s="23" t="s">
        <v>984</v>
      </c>
      <c r="H10" s="23" t="s">
        <v>1054</v>
      </c>
      <c r="I10" s="2" t="s">
        <v>78</v>
      </c>
      <c r="J10" s="20">
        <v>1</v>
      </c>
      <c r="K10" s="28">
        <v>399</v>
      </c>
      <c r="L10" s="29">
        <v>84.1</v>
      </c>
      <c r="M10" s="23" t="s">
        <v>1108</v>
      </c>
      <c r="N10" s="23" t="s">
        <v>1110</v>
      </c>
      <c r="O10" s="23" t="s">
        <v>1120</v>
      </c>
    </row>
    <row r="11" spans="1:15" x14ac:dyDescent="0.3">
      <c r="A11" s="2" t="s">
        <v>80</v>
      </c>
      <c r="B11" s="7">
        <v>44417</v>
      </c>
      <c r="C11" s="39" t="s">
        <v>789</v>
      </c>
      <c r="D11" s="23" t="s">
        <v>940</v>
      </c>
      <c r="E11" t="s">
        <v>1132</v>
      </c>
      <c r="F11" s="11" t="s">
        <v>82</v>
      </c>
      <c r="G11" s="23" t="s">
        <v>985</v>
      </c>
      <c r="H11" s="23" t="s">
        <v>1055</v>
      </c>
      <c r="I11" s="2" t="s">
        <v>85</v>
      </c>
      <c r="J11" s="20">
        <v>1</v>
      </c>
      <c r="K11" s="28">
        <v>1099</v>
      </c>
      <c r="L11" s="29">
        <v>84.100999999999999</v>
      </c>
      <c r="M11" s="23" t="s">
        <v>1108</v>
      </c>
      <c r="N11" s="23" t="s">
        <v>1110</v>
      </c>
      <c r="O11" s="23" t="s">
        <v>1115</v>
      </c>
    </row>
    <row r="12" spans="1:15" x14ac:dyDescent="0.3">
      <c r="A12" s="2" t="s">
        <v>87</v>
      </c>
      <c r="B12" s="7">
        <v>44443</v>
      </c>
      <c r="C12" s="39" t="s">
        <v>790</v>
      </c>
      <c r="D12" s="23" t="s">
        <v>939</v>
      </c>
      <c r="E12" t="s">
        <v>1130</v>
      </c>
      <c r="F12" s="11" t="s">
        <v>89</v>
      </c>
      <c r="G12" s="23" t="s">
        <v>986</v>
      </c>
      <c r="H12" s="23" t="s">
        <v>1056</v>
      </c>
      <c r="I12" s="2" t="s">
        <v>17</v>
      </c>
      <c r="J12" s="20">
        <v>1</v>
      </c>
      <c r="K12" s="28">
        <v>449</v>
      </c>
      <c r="L12" s="29">
        <v>84.102000000000004</v>
      </c>
      <c r="M12" s="23" t="s">
        <v>1108</v>
      </c>
      <c r="N12" s="23" t="s">
        <v>1110</v>
      </c>
      <c r="O12" s="23" t="s">
        <v>1114</v>
      </c>
    </row>
    <row r="13" spans="1:15" x14ac:dyDescent="0.3">
      <c r="A13" s="2" t="s">
        <v>93</v>
      </c>
      <c r="B13" s="7">
        <v>44516</v>
      </c>
      <c r="C13" s="39" t="s">
        <v>791</v>
      </c>
      <c r="D13" s="23" t="s">
        <v>936</v>
      </c>
      <c r="E13" t="s">
        <v>1129</v>
      </c>
      <c r="F13" s="11" t="s">
        <v>95</v>
      </c>
      <c r="G13" s="23" t="s">
        <v>987</v>
      </c>
      <c r="H13" s="23" t="s">
        <v>1057</v>
      </c>
      <c r="I13" s="2" t="s">
        <v>28</v>
      </c>
      <c r="J13" s="20">
        <v>1</v>
      </c>
      <c r="K13" s="28">
        <v>449</v>
      </c>
      <c r="L13" s="29">
        <v>84.102999999999994</v>
      </c>
      <c r="M13" s="23" t="s">
        <v>1108</v>
      </c>
      <c r="N13" s="23" t="s">
        <v>1110</v>
      </c>
      <c r="O13" s="23" t="s">
        <v>1119</v>
      </c>
    </row>
    <row r="14" spans="1:15" x14ac:dyDescent="0.3">
      <c r="A14" s="2" t="s">
        <v>98</v>
      </c>
      <c r="B14" s="7">
        <v>44485</v>
      </c>
      <c r="C14" s="39" t="s">
        <v>792</v>
      </c>
      <c r="D14" s="23" t="s">
        <v>939</v>
      </c>
      <c r="E14" t="s">
        <v>1128</v>
      </c>
      <c r="F14" s="11" t="s">
        <v>100</v>
      </c>
      <c r="G14" s="23" t="s">
        <v>988</v>
      </c>
      <c r="H14" s="23" t="s">
        <v>1058</v>
      </c>
      <c r="I14" s="2" t="s">
        <v>103</v>
      </c>
      <c r="J14" s="20">
        <v>1</v>
      </c>
      <c r="K14" s="28">
        <v>449</v>
      </c>
      <c r="L14" s="29">
        <v>84.103999999999999</v>
      </c>
      <c r="M14" s="23" t="s">
        <v>1109</v>
      </c>
      <c r="N14" s="23" t="s">
        <v>1110</v>
      </c>
      <c r="O14" s="23" t="s">
        <v>1114</v>
      </c>
    </row>
    <row r="15" spans="1:15" x14ac:dyDescent="0.3">
      <c r="A15" s="2" t="s">
        <v>105</v>
      </c>
      <c r="B15" s="7">
        <v>44473</v>
      </c>
      <c r="C15" s="39" t="s">
        <v>793</v>
      </c>
      <c r="D15" s="23" t="s">
        <v>940</v>
      </c>
      <c r="E15" t="s">
        <v>1128</v>
      </c>
      <c r="F15" s="11" t="s">
        <v>107</v>
      </c>
      <c r="G15" s="23" t="s">
        <v>989</v>
      </c>
      <c r="H15" s="23" t="s">
        <v>339</v>
      </c>
      <c r="I15" s="2" t="s">
        <v>109</v>
      </c>
      <c r="J15" s="20">
        <v>1</v>
      </c>
      <c r="K15" s="28">
        <v>1099</v>
      </c>
      <c r="L15" s="28">
        <v>84.105000000000004</v>
      </c>
      <c r="M15" s="23" t="s">
        <v>1108</v>
      </c>
      <c r="N15" s="23" t="s">
        <v>1110</v>
      </c>
      <c r="O15" s="23" t="s">
        <v>1115</v>
      </c>
    </row>
    <row r="16" spans="1:15" x14ac:dyDescent="0.3">
      <c r="A16" s="2" t="s">
        <v>111</v>
      </c>
      <c r="B16" s="7">
        <v>44483</v>
      </c>
      <c r="C16" s="39" t="s">
        <v>794</v>
      </c>
      <c r="D16" s="23" t="s">
        <v>938</v>
      </c>
      <c r="E16" t="s">
        <v>1128</v>
      </c>
      <c r="F16" s="11" t="s">
        <v>113</v>
      </c>
      <c r="G16" s="23" t="s">
        <v>990</v>
      </c>
      <c r="H16" s="23" t="s">
        <v>339</v>
      </c>
      <c r="I16" s="2" t="s">
        <v>115</v>
      </c>
      <c r="J16" s="20">
        <v>1</v>
      </c>
      <c r="K16" s="28" t="s">
        <v>21</v>
      </c>
      <c r="L16" s="28">
        <v>84.105999999999995</v>
      </c>
      <c r="M16" s="23" t="s">
        <v>1109</v>
      </c>
      <c r="N16" s="23" t="s">
        <v>1111</v>
      </c>
      <c r="O16" s="23" t="s">
        <v>1122</v>
      </c>
    </row>
    <row r="17" spans="1:15" x14ac:dyDescent="0.3">
      <c r="A17" s="2" t="s">
        <v>117</v>
      </c>
      <c r="B17" s="7">
        <v>44444</v>
      </c>
      <c r="C17" s="39" t="s">
        <v>795</v>
      </c>
      <c r="D17" s="23" t="s">
        <v>935</v>
      </c>
      <c r="E17" t="s">
        <v>1130</v>
      </c>
      <c r="F17" s="11" t="s">
        <v>119</v>
      </c>
      <c r="G17" s="23" t="s">
        <v>991</v>
      </c>
      <c r="H17" s="23" t="s">
        <v>1052</v>
      </c>
      <c r="I17" s="2" t="s">
        <v>46</v>
      </c>
      <c r="J17" s="20">
        <v>1</v>
      </c>
      <c r="K17" s="28">
        <v>1099</v>
      </c>
      <c r="L17" s="28">
        <v>84.106999999999999</v>
      </c>
      <c r="M17" s="23" t="s">
        <v>1108</v>
      </c>
      <c r="N17" s="23" t="s">
        <v>1110</v>
      </c>
      <c r="O17" s="23" t="s">
        <v>1115</v>
      </c>
    </row>
    <row r="18" spans="1:15" x14ac:dyDescent="0.3">
      <c r="A18" s="2" t="s">
        <v>122</v>
      </c>
      <c r="B18" s="7">
        <v>44433</v>
      </c>
      <c r="C18" s="39" t="s">
        <v>796</v>
      </c>
      <c r="D18" s="23" t="s">
        <v>937</v>
      </c>
      <c r="E18" t="s">
        <v>1132</v>
      </c>
      <c r="F18" s="11" t="s">
        <v>124</v>
      </c>
      <c r="G18" s="23" t="s">
        <v>992</v>
      </c>
      <c r="H18" s="23" t="s">
        <v>1054</v>
      </c>
      <c r="I18" s="2" t="s">
        <v>63</v>
      </c>
      <c r="J18" s="20">
        <v>1</v>
      </c>
      <c r="K18" s="28">
        <v>649</v>
      </c>
      <c r="L18" s="28">
        <v>84.108000000000004</v>
      </c>
      <c r="M18" s="23" t="s">
        <v>1109</v>
      </c>
      <c r="N18" s="23" t="s">
        <v>1110</v>
      </c>
      <c r="O18" s="23" t="s">
        <v>1122</v>
      </c>
    </row>
    <row r="19" spans="1:15" x14ac:dyDescent="0.3">
      <c r="A19" s="2" t="s">
        <v>128</v>
      </c>
      <c r="B19" s="7">
        <v>44527</v>
      </c>
      <c r="C19" s="39" t="s">
        <v>797</v>
      </c>
      <c r="D19" s="23" t="s">
        <v>939</v>
      </c>
      <c r="E19" t="s">
        <v>1129</v>
      </c>
      <c r="F19" s="11" t="s">
        <v>945</v>
      </c>
      <c r="G19" s="23" t="s">
        <v>980</v>
      </c>
      <c r="H19" s="23" t="s">
        <v>339</v>
      </c>
      <c r="I19" s="2" t="s">
        <v>131</v>
      </c>
      <c r="J19" s="20">
        <v>1</v>
      </c>
      <c r="K19" s="28">
        <v>449</v>
      </c>
      <c r="L19" s="28">
        <v>84.108999999999995</v>
      </c>
      <c r="M19" s="23" t="s">
        <v>1108</v>
      </c>
      <c r="N19" s="23" t="s">
        <v>1110</v>
      </c>
      <c r="O19" s="23" t="s">
        <v>1114</v>
      </c>
    </row>
    <row r="20" spans="1:15" x14ac:dyDescent="0.3">
      <c r="A20" s="2" t="s">
        <v>133</v>
      </c>
      <c r="B20" s="7">
        <v>44521</v>
      </c>
      <c r="C20" s="39" t="s">
        <v>798</v>
      </c>
      <c r="D20" s="23" t="s">
        <v>935</v>
      </c>
      <c r="E20" t="s">
        <v>1129</v>
      </c>
      <c r="F20" s="11" t="s">
        <v>946</v>
      </c>
      <c r="G20" s="23" t="s">
        <v>993</v>
      </c>
      <c r="H20" s="23" t="s">
        <v>1051</v>
      </c>
      <c r="I20" s="2" t="s">
        <v>137</v>
      </c>
      <c r="J20" s="20">
        <v>1</v>
      </c>
      <c r="K20" s="28">
        <v>399</v>
      </c>
      <c r="L20" s="28">
        <v>84.11</v>
      </c>
      <c r="M20" s="23" t="s">
        <v>1108</v>
      </c>
      <c r="N20" s="23" t="s">
        <v>1110</v>
      </c>
      <c r="O20" s="23" t="s">
        <v>1120</v>
      </c>
    </row>
    <row r="21" spans="1:15" x14ac:dyDescent="0.3">
      <c r="A21" s="2" t="s">
        <v>139</v>
      </c>
      <c r="B21" s="7">
        <v>44470</v>
      </c>
      <c r="C21" s="39" t="s">
        <v>799</v>
      </c>
      <c r="D21" s="23" t="s">
        <v>941</v>
      </c>
      <c r="E21" t="s">
        <v>1128</v>
      </c>
      <c r="F21" s="11" t="s">
        <v>141</v>
      </c>
      <c r="G21" s="23" t="s">
        <v>980</v>
      </c>
      <c r="H21" s="23" t="s">
        <v>339</v>
      </c>
      <c r="I21" s="2" t="s">
        <v>70</v>
      </c>
      <c r="J21" s="20">
        <v>1</v>
      </c>
      <c r="K21" s="28">
        <v>400</v>
      </c>
      <c r="L21" s="28">
        <v>84.111000000000004</v>
      </c>
      <c r="M21" s="23" t="s">
        <v>1109</v>
      </c>
      <c r="N21" s="23" t="s">
        <v>1110</v>
      </c>
      <c r="O21" s="23" t="s">
        <v>1121</v>
      </c>
    </row>
    <row r="22" spans="1:15" x14ac:dyDescent="0.3">
      <c r="A22" s="2" t="s">
        <v>142</v>
      </c>
      <c r="B22" s="7">
        <v>44449</v>
      </c>
      <c r="C22" s="39" t="s">
        <v>800</v>
      </c>
      <c r="D22" s="23" t="s">
        <v>941</v>
      </c>
      <c r="E22" t="s">
        <v>1130</v>
      </c>
      <c r="F22" s="11" t="s">
        <v>144</v>
      </c>
      <c r="G22" s="23" t="s">
        <v>994</v>
      </c>
      <c r="H22" s="23" t="s">
        <v>339</v>
      </c>
      <c r="I22" s="2" t="s">
        <v>146</v>
      </c>
      <c r="J22" s="20">
        <v>1</v>
      </c>
      <c r="K22" s="28">
        <v>401</v>
      </c>
      <c r="L22" s="28">
        <v>84.111999999999995</v>
      </c>
      <c r="M22" s="23" t="s">
        <v>1108</v>
      </c>
      <c r="N22" s="23" t="s">
        <v>1110</v>
      </c>
      <c r="O22" s="23" t="s">
        <v>1121</v>
      </c>
    </row>
    <row r="23" spans="1:15" x14ac:dyDescent="0.3">
      <c r="A23" s="2" t="s">
        <v>148</v>
      </c>
      <c r="B23" s="7">
        <v>44510</v>
      </c>
      <c r="C23" s="39" t="s">
        <v>801</v>
      </c>
      <c r="D23" s="23" t="s">
        <v>937</v>
      </c>
      <c r="E23" t="s">
        <v>1129</v>
      </c>
      <c r="F23" s="11" t="s">
        <v>150</v>
      </c>
      <c r="G23" s="23" t="s">
        <v>995</v>
      </c>
      <c r="H23" s="23" t="s">
        <v>195</v>
      </c>
      <c r="I23" s="2" t="s">
        <v>28</v>
      </c>
      <c r="J23" s="20">
        <v>1</v>
      </c>
      <c r="K23" s="28">
        <v>402</v>
      </c>
      <c r="L23" s="28">
        <v>84.113</v>
      </c>
      <c r="M23" s="23" t="s">
        <v>1108</v>
      </c>
      <c r="N23" s="23" t="s">
        <v>1110</v>
      </c>
      <c r="O23" s="23" t="s">
        <v>1119</v>
      </c>
    </row>
    <row r="24" spans="1:15" x14ac:dyDescent="0.3">
      <c r="A24" s="2" t="s">
        <v>153</v>
      </c>
      <c r="B24" s="7">
        <v>44526</v>
      </c>
      <c r="C24" s="39" t="s">
        <v>802</v>
      </c>
      <c r="D24" s="23" t="s">
        <v>941</v>
      </c>
      <c r="E24" t="s">
        <v>1129</v>
      </c>
      <c r="F24" s="11" t="s">
        <v>155</v>
      </c>
      <c r="G24" s="23" t="s">
        <v>996</v>
      </c>
      <c r="H24" s="23" t="s">
        <v>1056</v>
      </c>
      <c r="I24" s="2" t="s">
        <v>28</v>
      </c>
      <c r="J24" s="20">
        <v>1</v>
      </c>
      <c r="K24" s="28">
        <v>403</v>
      </c>
      <c r="L24" s="28">
        <v>84.114000000000004</v>
      </c>
      <c r="M24" s="23" t="s">
        <v>1108</v>
      </c>
      <c r="N24" s="23" t="s">
        <v>1111</v>
      </c>
      <c r="O24" s="23" t="s">
        <v>1119</v>
      </c>
    </row>
    <row r="25" spans="1:15" x14ac:dyDescent="0.3">
      <c r="A25" s="2" t="s">
        <v>157</v>
      </c>
      <c r="B25" s="7">
        <v>44489</v>
      </c>
      <c r="C25" s="39" t="s">
        <v>803</v>
      </c>
      <c r="D25" s="23" t="s">
        <v>937</v>
      </c>
      <c r="E25" t="s">
        <v>1128</v>
      </c>
      <c r="F25" s="11" t="s">
        <v>159</v>
      </c>
      <c r="G25" s="23" t="s">
        <v>984</v>
      </c>
      <c r="H25" s="23" t="s">
        <v>1054</v>
      </c>
      <c r="I25" s="2" t="s">
        <v>146</v>
      </c>
      <c r="J25" s="20">
        <v>1</v>
      </c>
      <c r="K25" s="28">
        <v>404</v>
      </c>
      <c r="L25" s="28">
        <v>84.114999999999995</v>
      </c>
      <c r="M25" s="23" t="s">
        <v>1108</v>
      </c>
      <c r="N25" s="23" t="s">
        <v>1110</v>
      </c>
      <c r="O25" s="23" t="s">
        <v>1121</v>
      </c>
    </row>
    <row r="26" spans="1:15" x14ac:dyDescent="0.3">
      <c r="A26" s="2" t="s">
        <v>160</v>
      </c>
      <c r="B26" s="7">
        <v>44372</v>
      </c>
      <c r="C26" s="39" t="s">
        <v>796</v>
      </c>
      <c r="D26" s="23" t="s">
        <v>941</v>
      </c>
      <c r="E26" t="s">
        <v>1131</v>
      </c>
      <c r="F26" s="11" t="s">
        <v>162</v>
      </c>
      <c r="G26" s="23" t="s">
        <v>980</v>
      </c>
      <c r="H26" s="23" t="s">
        <v>339</v>
      </c>
      <c r="I26" s="2" t="s">
        <v>163</v>
      </c>
      <c r="J26" s="20">
        <v>1</v>
      </c>
      <c r="K26" s="28">
        <v>405</v>
      </c>
      <c r="L26" s="28">
        <v>84.116</v>
      </c>
      <c r="M26" s="23" t="s">
        <v>1109</v>
      </c>
      <c r="N26" s="23" t="s">
        <v>1111</v>
      </c>
      <c r="O26" s="23" t="s">
        <v>1114</v>
      </c>
    </row>
    <row r="27" spans="1:15" x14ac:dyDescent="0.3">
      <c r="A27" s="2" t="s">
        <v>165</v>
      </c>
      <c r="B27" s="7">
        <v>44445</v>
      </c>
      <c r="C27" s="39" t="s">
        <v>797</v>
      </c>
      <c r="D27" s="23" t="s">
        <v>940</v>
      </c>
      <c r="E27" t="s">
        <v>1130</v>
      </c>
      <c r="F27" s="11" t="s">
        <v>167</v>
      </c>
      <c r="G27" s="23" t="s">
        <v>997</v>
      </c>
      <c r="H27" s="23" t="s">
        <v>195</v>
      </c>
      <c r="I27" s="2" t="s">
        <v>63</v>
      </c>
      <c r="J27" s="20">
        <v>1</v>
      </c>
      <c r="K27" s="28">
        <v>406</v>
      </c>
      <c r="L27" s="28">
        <v>84.117000000000004</v>
      </c>
      <c r="M27" s="23" t="s">
        <v>1109</v>
      </c>
      <c r="N27" s="23" t="s">
        <v>1110</v>
      </c>
      <c r="O27" s="23" t="s">
        <v>1122</v>
      </c>
    </row>
    <row r="28" spans="1:15" x14ac:dyDescent="0.3">
      <c r="A28" s="2" t="s">
        <v>169</v>
      </c>
      <c r="B28" s="7">
        <v>44399</v>
      </c>
      <c r="C28" s="39" t="s">
        <v>804</v>
      </c>
      <c r="D28" s="23" t="s">
        <v>938</v>
      </c>
      <c r="E28" t="s">
        <v>1127</v>
      </c>
      <c r="F28" s="11" t="s">
        <v>171</v>
      </c>
      <c r="G28" s="23" t="s">
        <v>998</v>
      </c>
      <c r="H28" s="23" t="s">
        <v>736</v>
      </c>
      <c r="I28" s="2" t="s">
        <v>38</v>
      </c>
      <c r="J28" s="20">
        <v>1</v>
      </c>
      <c r="K28" s="28">
        <v>407</v>
      </c>
      <c r="L28" s="28">
        <v>84.117999999999995</v>
      </c>
      <c r="M28" s="23" t="s">
        <v>1108</v>
      </c>
      <c r="N28" s="23" t="s">
        <v>1110</v>
      </c>
      <c r="O28" s="23" t="s">
        <v>1120</v>
      </c>
    </row>
    <row r="29" spans="1:15" x14ac:dyDescent="0.3">
      <c r="A29" s="2" t="s">
        <v>175</v>
      </c>
      <c r="B29" s="7">
        <v>44498</v>
      </c>
      <c r="C29" s="39" t="s">
        <v>805</v>
      </c>
      <c r="D29" s="23" t="s">
        <v>941</v>
      </c>
      <c r="E29" t="s">
        <v>1128</v>
      </c>
      <c r="F29" s="11" t="s">
        <v>177</v>
      </c>
      <c r="G29" s="23" t="s">
        <v>989</v>
      </c>
      <c r="H29" s="23" t="s">
        <v>339</v>
      </c>
      <c r="I29" s="2" t="s">
        <v>28</v>
      </c>
      <c r="J29" s="20">
        <v>1</v>
      </c>
      <c r="K29" s="28">
        <v>408</v>
      </c>
      <c r="L29" s="28">
        <v>84.119</v>
      </c>
      <c r="M29" s="23" t="s">
        <v>1109</v>
      </c>
      <c r="N29" s="23" t="s">
        <v>1110</v>
      </c>
      <c r="O29" s="23" t="s">
        <v>1119</v>
      </c>
    </row>
    <row r="30" spans="1:15" x14ac:dyDescent="0.3">
      <c r="A30" s="2" t="s">
        <v>179</v>
      </c>
      <c r="B30" s="7">
        <v>44459</v>
      </c>
      <c r="C30" s="39" t="s">
        <v>806</v>
      </c>
      <c r="D30" s="23" t="s">
        <v>940</v>
      </c>
      <c r="E30" t="s">
        <v>1130</v>
      </c>
      <c r="F30" s="11" t="s">
        <v>947</v>
      </c>
      <c r="G30" s="23" t="s">
        <v>999</v>
      </c>
      <c r="H30" s="23" t="s">
        <v>1059</v>
      </c>
      <c r="I30" s="2" t="s">
        <v>184</v>
      </c>
      <c r="J30" s="20">
        <v>1</v>
      </c>
      <c r="K30" s="28">
        <v>409</v>
      </c>
      <c r="L30" s="27">
        <v>84.96</v>
      </c>
      <c r="M30" s="23" t="s">
        <v>1109</v>
      </c>
      <c r="N30" s="23" t="s">
        <v>1110</v>
      </c>
      <c r="O30" s="23" t="s">
        <v>1120</v>
      </c>
    </row>
    <row r="31" spans="1:15" x14ac:dyDescent="0.3">
      <c r="A31" s="2" t="s">
        <v>186</v>
      </c>
      <c r="B31" s="7">
        <v>44412</v>
      </c>
      <c r="C31" s="39" t="s">
        <v>807</v>
      </c>
      <c r="D31" s="23" t="s">
        <v>937</v>
      </c>
      <c r="E31" t="s">
        <v>1132</v>
      </c>
      <c r="F31" s="11" t="s">
        <v>948</v>
      </c>
      <c r="G31" s="23" t="s">
        <v>1000</v>
      </c>
      <c r="H31" s="23" t="s">
        <v>1060</v>
      </c>
      <c r="I31" s="2" t="s">
        <v>28</v>
      </c>
      <c r="J31" s="20">
        <v>1</v>
      </c>
      <c r="K31" s="28">
        <v>410</v>
      </c>
      <c r="M31" s="23" t="s">
        <v>1108</v>
      </c>
      <c r="N31" s="23" t="s">
        <v>1110</v>
      </c>
      <c r="O31" s="23" t="s">
        <v>1119</v>
      </c>
    </row>
    <row r="32" spans="1:15" x14ac:dyDescent="0.3">
      <c r="A32" s="2" t="s">
        <v>191</v>
      </c>
      <c r="B32" s="7">
        <v>44480</v>
      </c>
      <c r="C32" s="39" t="s">
        <v>808</v>
      </c>
      <c r="D32" s="23" t="s">
        <v>940</v>
      </c>
      <c r="E32" t="s">
        <v>1128</v>
      </c>
      <c r="F32" s="11" t="s">
        <v>193</v>
      </c>
      <c r="G32" s="23" t="s">
        <v>1001</v>
      </c>
      <c r="H32" s="23" t="s">
        <v>195</v>
      </c>
      <c r="I32" s="2" t="s">
        <v>28</v>
      </c>
      <c r="J32" s="20">
        <v>1</v>
      </c>
      <c r="K32" s="28">
        <v>411</v>
      </c>
      <c r="L32" s="27">
        <v>60.18</v>
      </c>
      <c r="M32" s="23" t="s">
        <v>1108</v>
      </c>
      <c r="N32" s="23" t="s">
        <v>1110</v>
      </c>
      <c r="O32" s="23" t="s">
        <v>1119</v>
      </c>
    </row>
    <row r="33" spans="1:15" x14ac:dyDescent="0.3">
      <c r="A33" s="2" t="s">
        <v>196</v>
      </c>
      <c r="B33" s="7">
        <v>44485</v>
      </c>
      <c r="C33" s="39" t="s">
        <v>809</v>
      </c>
      <c r="D33" s="23" t="s">
        <v>939</v>
      </c>
      <c r="E33" t="s">
        <v>1128</v>
      </c>
      <c r="F33" s="11" t="s">
        <v>198</v>
      </c>
      <c r="G33" s="23" t="s">
        <v>1002</v>
      </c>
      <c r="H33" s="23" t="s">
        <v>1055</v>
      </c>
      <c r="I33" s="2" t="s">
        <v>200</v>
      </c>
      <c r="J33" s="20">
        <v>1</v>
      </c>
      <c r="K33" s="28">
        <v>412</v>
      </c>
      <c r="L33" s="27">
        <v>60.18</v>
      </c>
      <c r="M33" s="23" t="s">
        <v>1108</v>
      </c>
      <c r="N33" s="23" t="s">
        <v>1110</v>
      </c>
      <c r="O33" s="23" t="s">
        <v>1120</v>
      </c>
    </row>
    <row r="34" spans="1:15" x14ac:dyDescent="0.3">
      <c r="A34" s="2" t="s">
        <v>202</v>
      </c>
      <c r="B34" s="7">
        <v>44498</v>
      </c>
      <c r="C34" s="39" t="s">
        <v>810</v>
      </c>
      <c r="D34" s="23" t="s">
        <v>941</v>
      </c>
      <c r="E34" t="s">
        <v>1128</v>
      </c>
      <c r="F34" s="11" t="s">
        <v>204</v>
      </c>
      <c r="G34" s="23" t="s">
        <v>993</v>
      </c>
      <c r="H34" s="23" t="s">
        <v>1051</v>
      </c>
      <c r="I34" s="2" t="s">
        <v>28</v>
      </c>
      <c r="J34" s="20">
        <v>1</v>
      </c>
      <c r="K34" s="28">
        <v>413</v>
      </c>
      <c r="L34" s="27">
        <v>84.96</v>
      </c>
      <c r="M34" s="23" t="s">
        <v>1109</v>
      </c>
      <c r="N34" s="23" t="s">
        <v>1110</v>
      </c>
      <c r="O34" s="23" t="s">
        <v>1119</v>
      </c>
    </row>
    <row r="35" spans="1:15" x14ac:dyDescent="0.3">
      <c r="A35" s="2" t="s">
        <v>205</v>
      </c>
      <c r="B35" s="7">
        <v>44457</v>
      </c>
      <c r="C35" s="39" t="s">
        <v>811</v>
      </c>
      <c r="D35" s="23" t="s">
        <v>939</v>
      </c>
      <c r="E35" t="s">
        <v>1130</v>
      </c>
      <c r="F35" s="11" t="s">
        <v>207</v>
      </c>
      <c r="G35" s="23" t="s">
        <v>984</v>
      </c>
      <c r="H35" s="23" t="s">
        <v>1054</v>
      </c>
      <c r="I35" s="2" t="s">
        <v>28</v>
      </c>
      <c r="J35" s="20">
        <v>1</v>
      </c>
      <c r="K35" s="28">
        <v>414</v>
      </c>
      <c r="L35" s="27">
        <v>84.96</v>
      </c>
      <c r="M35" s="23" t="s">
        <v>1108</v>
      </c>
      <c r="N35" s="23" t="s">
        <v>1110</v>
      </c>
      <c r="O35" s="23" t="s">
        <v>1119</v>
      </c>
    </row>
    <row r="36" spans="1:15" x14ac:dyDescent="0.3">
      <c r="A36" s="2" t="s">
        <v>208</v>
      </c>
      <c r="B36" s="7">
        <v>44497</v>
      </c>
      <c r="C36" s="39" t="s">
        <v>812</v>
      </c>
      <c r="D36" s="23" t="s">
        <v>938</v>
      </c>
      <c r="E36" t="s">
        <v>1128</v>
      </c>
      <c r="F36" s="11" t="s">
        <v>949</v>
      </c>
      <c r="G36" s="23" t="s">
        <v>991</v>
      </c>
      <c r="H36" s="23" t="s">
        <v>1052</v>
      </c>
      <c r="I36" s="2" t="s">
        <v>211</v>
      </c>
      <c r="J36" s="20">
        <v>1</v>
      </c>
      <c r="K36" s="28">
        <v>415</v>
      </c>
      <c r="L36" s="27">
        <v>47.2</v>
      </c>
      <c r="M36" s="23" t="s">
        <v>1109</v>
      </c>
      <c r="N36" s="23" t="s">
        <v>1110</v>
      </c>
      <c r="O36" s="23" t="s">
        <v>1120</v>
      </c>
    </row>
    <row r="37" spans="1:15" x14ac:dyDescent="0.3">
      <c r="A37" s="2" t="s">
        <v>214</v>
      </c>
      <c r="B37" s="7">
        <v>44446</v>
      </c>
      <c r="C37" s="39" t="s">
        <v>813</v>
      </c>
      <c r="D37" s="23" t="s">
        <v>936</v>
      </c>
      <c r="E37" t="s">
        <v>1130</v>
      </c>
      <c r="F37" s="11" t="s">
        <v>216</v>
      </c>
      <c r="G37" s="23" t="s">
        <v>984</v>
      </c>
      <c r="H37" s="23" t="s">
        <v>1054</v>
      </c>
      <c r="I37" s="2" t="s">
        <v>78</v>
      </c>
      <c r="J37" s="20">
        <v>1</v>
      </c>
      <c r="K37" s="28">
        <v>416</v>
      </c>
      <c r="L37" s="27">
        <v>84.96</v>
      </c>
      <c r="M37" s="23" t="s">
        <v>1108</v>
      </c>
      <c r="N37" s="23" t="s">
        <v>1110</v>
      </c>
      <c r="O37" s="23" t="s">
        <v>1120</v>
      </c>
    </row>
    <row r="38" spans="1:15" x14ac:dyDescent="0.3">
      <c r="A38" s="2" t="s">
        <v>217</v>
      </c>
      <c r="B38" s="7">
        <v>44441</v>
      </c>
      <c r="C38" s="39" t="s">
        <v>814</v>
      </c>
      <c r="D38" s="23" t="s">
        <v>938</v>
      </c>
      <c r="E38" t="s">
        <v>1130</v>
      </c>
      <c r="F38" s="11" t="s">
        <v>950</v>
      </c>
      <c r="G38" s="23" t="s">
        <v>1003</v>
      </c>
      <c r="H38" s="23" t="s">
        <v>1058</v>
      </c>
      <c r="I38" s="2" t="s">
        <v>184</v>
      </c>
      <c r="J38" s="20">
        <v>1</v>
      </c>
      <c r="K38" s="28">
        <v>417</v>
      </c>
      <c r="L38" s="27">
        <v>84.96</v>
      </c>
      <c r="M38" s="23" t="s">
        <v>1108</v>
      </c>
      <c r="N38" s="23" t="s">
        <v>1110</v>
      </c>
      <c r="O38" s="23" t="s">
        <v>1120</v>
      </c>
    </row>
    <row r="39" spans="1:15" x14ac:dyDescent="0.3">
      <c r="A39" s="2" t="s">
        <v>221</v>
      </c>
      <c r="B39" s="7">
        <v>44457</v>
      </c>
      <c r="C39" s="39" t="s">
        <v>815</v>
      </c>
      <c r="D39" s="23" t="s">
        <v>939</v>
      </c>
      <c r="E39" t="s">
        <v>1130</v>
      </c>
      <c r="F39" s="11" t="s">
        <v>223</v>
      </c>
      <c r="G39" s="23" t="s">
        <v>989</v>
      </c>
      <c r="H39" s="23" t="s">
        <v>339</v>
      </c>
      <c r="I39" s="2" t="s">
        <v>224</v>
      </c>
      <c r="J39" s="20">
        <v>1</v>
      </c>
      <c r="K39" s="28">
        <v>418</v>
      </c>
      <c r="L39" s="27">
        <v>84.96</v>
      </c>
      <c r="M39" s="23" t="s">
        <v>1108</v>
      </c>
      <c r="N39" s="23" t="s">
        <v>1110</v>
      </c>
      <c r="O39" s="23" t="s">
        <v>1114</v>
      </c>
    </row>
    <row r="40" spans="1:15" x14ac:dyDescent="0.3">
      <c r="A40" s="2" t="s">
        <v>226</v>
      </c>
      <c r="B40" s="7">
        <v>44501</v>
      </c>
      <c r="C40" s="39" t="s">
        <v>816</v>
      </c>
      <c r="D40" s="23" t="s">
        <v>940</v>
      </c>
      <c r="E40" t="s">
        <v>1129</v>
      </c>
      <c r="F40" s="11" t="s">
        <v>228</v>
      </c>
      <c r="G40" s="23" t="s">
        <v>1004</v>
      </c>
      <c r="H40" s="23" t="s">
        <v>1061</v>
      </c>
      <c r="I40" s="2" t="s">
        <v>184</v>
      </c>
      <c r="J40" s="20">
        <v>1</v>
      </c>
      <c r="K40" s="28">
        <v>419</v>
      </c>
      <c r="L40" s="27">
        <v>84.96</v>
      </c>
      <c r="M40" s="23" t="s">
        <v>1109</v>
      </c>
      <c r="N40" s="23" t="s">
        <v>1110</v>
      </c>
      <c r="O40" s="23" t="s">
        <v>1120</v>
      </c>
    </row>
    <row r="41" spans="1:15" x14ac:dyDescent="0.3">
      <c r="A41" s="2" t="s">
        <v>231</v>
      </c>
      <c r="B41" s="7">
        <v>44526</v>
      </c>
      <c r="C41" s="39" t="s">
        <v>785</v>
      </c>
      <c r="D41" s="23" t="s">
        <v>941</v>
      </c>
      <c r="E41" t="s">
        <v>1129</v>
      </c>
      <c r="F41" s="11" t="s">
        <v>233</v>
      </c>
      <c r="G41" s="23" t="s">
        <v>999</v>
      </c>
      <c r="H41" s="23" t="s">
        <v>1059</v>
      </c>
      <c r="I41" s="2" t="s">
        <v>234</v>
      </c>
      <c r="J41" s="20">
        <v>4</v>
      </c>
      <c r="K41" s="28">
        <v>420</v>
      </c>
      <c r="L41" s="27">
        <v>84.96</v>
      </c>
      <c r="M41" s="23" t="s">
        <v>1108</v>
      </c>
      <c r="N41" s="23" t="s">
        <v>1111</v>
      </c>
      <c r="O41" s="23" t="s">
        <v>1120</v>
      </c>
    </row>
    <row r="42" spans="1:15" x14ac:dyDescent="0.3">
      <c r="A42" s="2" t="s">
        <v>237</v>
      </c>
      <c r="B42" s="7">
        <v>44445</v>
      </c>
      <c r="C42" s="39" t="s">
        <v>817</v>
      </c>
      <c r="D42" s="23" t="s">
        <v>940</v>
      </c>
      <c r="E42" t="s">
        <v>1130</v>
      </c>
      <c r="F42" s="11" t="s">
        <v>239</v>
      </c>
      <c r="G42" s="23" t="s">
        <v>993</v>
      </c>
      <c r="H42" s="23" t="s">
        <v>1051</v>
      </c>
      <c r="I42" s="2" t="s">
        <v>240</v>
      </c>
      <c r="J42" s="20">
        <v>1</v>
      </c>
      <c r="K42" s="28">
        <v>421</v>
      </c>
      <c r="L42" s="27">
        <v>84.96</v>
      </c>
      <c r="M42" s="23" t="s">
        <v>1108</v>
      </c>
      <c r="N42" s="23" t="s">
        <v>1110</v>
      </c>
      <c r="O42" s="23" t="s">
        <v>1120</v>
      </c>
    </row>
    <row r="43" spans="1:15" x14ac:dyDescent="0.3">
      <c r="A43" s="2" t="s">
        <v>243</v>
      </c>
      <c r="B43" s="7">
        <v>44470</v>
      </c>
      <c r="C43" s="39" t="s">
        <v>818</v>
      </c>
      <c r="D43" s="23" t="s">
        <v>941</v>
      </c>
      <c r="E43" t="s">
        <v>1128</v>
      </c>
      <c r="F43" s="11" t="s">
        <v>245</v>
      </c>
      <c r="G43" s="23" t="s">
        <v>1005</v>
      </c>
      <c r="H43" s="23" t="s">
        <v>1062</v>
      </c>
      <c r="I43" s="2" t="s">
        <v>211</v>
      </c>
      <c r="J43" s="20">
        <v>1</v>
      </c>
      <c r="K43" s="28">
        <v>422</v>
      </c>
      <c r="L43" s="27">
        <v>84.96</v>
      </c>
      <c r="M43" s="23" t="s">
        <v>1108</v>
      </c>
      <c r="N43" s="23" t="s">
        <v>1110</v>
      </c>
      <c r="O43" s="23" t="s">
        <v>1120</v>
      </c>
    </row>
    <row r="44" spans="1:15" x14ac:dyDescent="0.3">
      <c r="A44" s="2" t="s">
        <v>248</v>
      </c>
      <c r="B44" s="7">
        <v>44473</v>
      </c>
      <c r="C44" s="39" t="s">
        <v>819</v>
      </c>
      <c r="D44" s="23" t="s">
        <v>940</v>
      </c>
      <c r="E44" t="s">
        <v>1128</v>
      </c>
      <c r="F44" s="11" t="s">
        <v>250</v>
      </c>
      <c r="G44" s="23" t="s">
        <v>996</v>
      </c>
      <c r="H44" s="23" t="s">
        <v>1056</v>
      </c>
      <c r="I44" s="2" t="s">
        <v>28</v>
      </c>
      <c r="J44" s="20">
        <v>1</v>
      </c>
      <c r="K44" s="28">
        <v>423</v>
      </c>
      <c r="L44" s="27">
        <v>84.96</v>
      </c>
      <c r="M44" s="23" t="s">
        <v>1108</v>
      </c>
      <c r="N44" s="23" t="s">
        <v>1110</v>
      </c>
      <c r="O44" s="23" t="s">
        <v>1119</v>
      </c>
    </row>
    <row r="45" spans="1:15" x14ac:dyDescent="0.3">
      <c r="A45" s="2" t="s">
        <v>251</v>
      </c>
      <c r="B45" s="7">
        <v>44500</v>
      </c>
      <c r="C45" s="39" t="s">
        <v>820</v>
      </c>
      <c r="D45" s="23" t="s">
        <v>935</v>
      </c>
      <c r="E45" t="s">
        <v>1128</v>
      </c>
      <c r="F45" s="11" t="s">
        <v>253</v>
      </c>
      <c r="G45" s="23" t="s">
        <v>991</v>
      </c>
      <c r="H45" s="23" t="s">
        <v>1052</v>
      </c>
      <c r="I45" s="2" t="s">
        <v>70</v>
      </c>
      <c r="J45" s="20">
        <v>1</v>
      </c>
      <c r="K45" s="28">
        <v>424</v>
      </c>
      <c r="L45" s="27">
        <v>47.2</v>
      </c>
      <c r="M45" s="23" t="s">
        <v>1108</v>
      </c>
      <c r="N45" s="23" t="s">
        <v>1111</v>
      </c>
      <c r="O45" s="23" t="s">
        <v>1121</v>
      </c>
    </row>
    <row r="46" spans="1:15" x14ac:dyDescent="0.3">
      <c r="A46" s="2" t="s">
        <v>254</v>
      </c>
      <c r="B46" s="7">
        <v>44414</v>
      </c>
      <c r="C46" s="39" t="s">
        <v>821</v>
      </c>
      <c r="D46" s="23" t="s">
        <v>941</v>
      </c>
      <c r="E46" t="s">
        <v>1132</v>
      </c>
      <c r="F46" s="11" t="s">
        <v>256</v>
      </c>
      <c r="G46" s="23" t="s">
        <v>980</v>
      </c>
      <c r="H46" s="23" t="s">
        <v>339</v>
      </c>
      <c r="I46" s="2" t="s">
        <v>28</v>
      </c>
      <c r="J46" s="20">
        <v>1</v>
      </c>
      <c r="K46" s="28">
        <v>425</v>
      </c>
      <c r="M46" s="23" t="s">
        <v>1108</v>
      </c>
      <c r="N46" s="23" t="s">
        <v>1110</v>
      </c>
      <c r="O46" s="23" t="s">
        <v>1119</v>
      </c>
    </row>
    <row r="47" spans="1:15" x14ac:dyDescent="0.3">
      <c r="A47" s="2" t="s">
        <v>258</v>
      </c>
      <c r="B47" s="7">
        <v>44500</v>
      </c>
      <c r="C47" s="39" t="s">
        <v>822</v>
      </c>
      <c r="D47" s="23" t="s">
        <v>935</v>
      </c>
      <c r="E47" t="s">
        <v>1128</v>
      </c>
      <c r="F47" s="11" t="s">
        <v>951</v>
      </c>
      <c r="G47" s="23" t="s">
        <v>1006</v>
      </c>
      <c r="H47" s="23" t="s">
        <v>1063</v>
      </c>
      <c r="I47" s="2" t="s">
        <v>211</v>
      </c>
      <c r="J47" s="20">
        <v>1</v>
      </c>
      <c r="K47" s="28">
        <v>426</v>
      </c>
      <c r="L47" s="27">
        <v>60.18</v>
      </c>
      <c r="M47" s="23" t="s">
        <v>1109</v>
      </c>
      <c r="N47" s="23" t="s">
        <v>1110</v>
      </c>
      <c r="O47" s="23" t="s">
        <v>1120</v>
      </c>
    </row>
    <row r="48" spans="1:15" x14ac:dyDescent="0.3">
      <c r="A48" s="2" t="s">
        <v>263</v>
      </c>
      <c r="B48" s="7">
        <v>44421</v>
      </c>
      <c r="C48" s="39" t="s">
        <v>823</v>
      </c>
      <c r="D48" s="23" t="s">
        <v>941</v>
      </c>
      <c r="E48" t="s">
        <v>1132</v>
      </c>
      <c r="F48" s="11" t="s">
        <v>265</v>
      </c>
      <c r="G48" s="23" t="s">
        <v>1007</v>
      </c>
      <c r="H48" s="23" t="s">
        <v>1063</v>
      </c>
      <c r="I48" s="2" t="s">
        <v>46</v>
      </c>
      <c r="J48" s="20">
        <v>1</v>
      </c>
      <c r="K48" s="28">
        <v>427</v>
      </c>
      <c r="M48" s="23" t="s">
        <v>1109</v>
      </c>
      <c r="N48" s="23" t="s">
        <v>1110</v>
      </c>
      <c r="O48" s="23" t="s">
        <v>1115</v>
      </c>
    </row>
    <row r="49" spans="1:15" x14ac:dyDescent="0.3">
      <c r="A49" s="2" t="s">
        <v>267</v>
      </c>
      <c r="B49" s="7">
        <v>44474</v>
      </c>
      <c r="C49" s="39" t="s">
        <v>824</v>
      </c>
      <c r="D49" s="23" t="s">
        <v>936</v>
      </c>
      <c r="E49" t="s">
        <v>1128</v>
      </c>
      <c r="F49" s="11" t="s">
        <v>269</v>
      </c>
      <c r="G49" s="23" t="s">
        <v>1007</v>
      </c>
      <c r="H49" s="23" t="s">
        <v>1063</v>
      </c>
      <c r="I49" s="2" t="s">
        <v>270</v>
      </c>
      <c r="J49" s="20">
        <v>1</v>
      </c>
      <c r="K49" s="28">
        <v>428</v>
      </c>
      <c r="L49" s="27">
        <v>60.18</v>
      </c>
      <c r="M49" s="23" t="s">
        <v>1109</v>
      </c>
      <c r="N49" s="23" t="s">
        <v>1111</v>
      </c>
      <c r="O49" s="23" t="s">
        <v>1121</v>
      </c>
    </row>
    <row r="50" spans="1:15" x14ac:dyDescent="0.3">
      <c r="A50" s="2" t="s">
        <v>272</v>
      </c>
      <c r="B50" s="7">
        <v>44424</v>
      </c>
      <c r="C50" s="39" t="s">
        <v>825</v>
      </c>
      <c r="D50" s="23" t="s">
        <v>940</v>
      </c>
      <c r="E50" t="s">
        <v>1132</v>
      </c>
      <c r="F50" s="11" t="s">
        <v>274</v>
      </c>
      <c r="G50" s="23" t="s">
        <v>1008</v>
      </c>
      <c r="H50" s="23" t="s">
        <v>1064</v>
      </c>
      <c r="I50" s="2" t="s">
        <v>85</v>
      </c>
      <c r="J50" s="20">
        <v>1</v>
      </c>
      <c r="K50" s="28">
        <v>429</v>
      </c>
      <c r="M50" s="23" t="s">
        <v>1109</v>
      </c>
      <c r="N50" s="23" t="s">
        <v>1110</v>
      </c>
      <c r="O50" s="23" t="s">
        <v>1115</v>
      </c>
    </row>
    <row r="51" spans="1:15" x14ac:dyDescent="0.3">
      <c r="A51" s="2" t="s">
        <v>277</v>
      </c>
      <c r="B51" s="7">
        <v>44444</v>
      </c>
      <c r="C51" s="39" t="s">
        <v>826</v>
      </c>
      <c r="D51" s="23" t="s">
        <v>935</v>
      </c>
      <c r="E51" t="s">
        <v>1130</v>
      </c>
      <c r="F51" s="11" t="s">
        <v>279</v>
      </c>
      <c r="G51" s="23" t="s">
        <v>993</v>
      </c>
      <c r="H51" s="23" t="s">
        <v>1051</v>
      </c>
      <c r="I51" s="2" t="s">
        <v>63</v>
      </c>
      <c r="J51" s="20">
        <v>1</v>
      </c>
      <c r="K51" s="28">
        <v>430</v>
      </c>
      <c r="L51" s="27">
        <v>84.96</v>
      </c>
      <c r="M51" s="23" t="s">
        <v>1108</v>
      </c>
      <c r="N51" s="23" t="s">
        <v>1110</v>
      </c>
      <c r="O51" s="23" t="s">
        <v>1122</v>
      </c>
    </row>
    <row r="52" spans="1:15" x14ac:dyDescent="0.3">
      <c r="A52" s="2" t="s">
        <v>280</v>
      </c>
      <c r="B52" s="7">
        <v>44513</v>
      </c>
      <c r="C52" s="39" t="s">
        <v>789</v>
      </c>
      <c r="D52" s="23" t="s">
        <v>939</v>
      </c>
      <c r="E52" t="s">
        <v>1129</v>
      </c>
      <c r="F52" s="11" t="s">
        <v>952</v>
      </c>
      <c r="G52" s="23" t="s">
        <v>1009</v>
      </c>
      <c r="H52" s="23" t="s">
        <v>1058</v>
      </c>
      <c r="I52" s="2" t="s">
        <v>284</v>
      </c>
      <c r="J52" s="20">
        <v>1</v>
      </c>
      <c r="K52" s="28">
        <v>431</v>
      </c>
      <c r="L52" s="27">
        <v>84.96</v>
      </c>
      <c r="M52" s="23" t="s">
        <v>1109</v>
      </c>
      <c r="N52" s="23" t="s">
        <v>1110</v>
      </c>
      <c r="O52" s="23" t="s">
        <v>1114</v>
      </c>
    </row>
    <row r="53" spans="1:15" x14ac:dyDescent="0.3">
      <c r="A53" s="2" t="s">
        <v>286</v>
      </c>
      <c r="B53" s="7">
        <v>44432</v>
      </c>
      <c r="C53" s="39" t="s">
        <v>827</v>
      </c>
      <c r="D53" s="23" t="s">
        <v>936</v>
      </c>
      <c r="E53" t="s">
        <v>1132</v>
      </c>
      <c r="F53" s="11" t="s">
        <v>288</v>
      </c>
      <c r="G53" s="23" t="s">
        <v>980</v>
      </c>
      <c r="H53" s="23" t="s">
        <v>339</v>
      </c>
      <c r="I53" s="2" t="s">
        <v>289</v>
      </c>
      <c r="J53" s="20">
        <v>1</v>
      </c>
      <c r="K53" s="28">
        <v>432</v>
      </c>
      <c r="M53" s="23" t="s">
        <v>1108</v>
      </c>
      <c r="N53" s="23" t="s">
        <v>1110</v>
      </c>
      <c r="O53" s="23" t="s">
        <v>1121</v>
      </c>
    </row>
    <row r="54" spans="1:15" x14ac:dyDescent="0.3">
      <c r="A54" s="2" t="s">
        <v>291</v>
      </c>
      <c r="B54" s="7">
        <v>44363</v>
      </c>
      <c r="C54" s="39" t="s">
        <v>824</v>
      </c>
      <c r="D54" s="23" t="s">
        <v>937</v>
      </c>
      <c r="E54" t="s">
        <v>1131</v>
      </c>
      <c r="F54" s="11" t="s">
        <v>953</v>
      </c>
      <c r="G54" s="23" t="s">
        <v>1010</v>
      </c>
      <c r="H54" s="23" t="s">
        <v>1051</v>
      </c>
      <c r="I54" s="2" t="s">
        <v>295</v>
      </c>
      <c r="J54" s="20">
        <v>1</v>
      </c>
      <c r="K54" s="28">
        <v>433</v>
      </c>
      <c r="M54" s="23" t="s">
        <v>1109</v>
      </c>
      <c r="N54" s="23" t="s">
        <v>1110</v>
      </c>
      <c r="O54" s="23" t="s">
        <v>1114</v>
      </c>
    </row>
    <row r="55" spans="1:15" x14ac:dyDescent="0.3">
      <c r="A55" s="2" t="s">
        <v>298</v>
      </c>
      <c r="B55" s="7">
        <v>44491</v>
      </c>
      <c r="C55" s="39" t="s">
        <v>828</v>
      </c>
      <c r="D55" s="23" t="s">
        <v>941</v>
      </c>
      <c r="E55" t="s">
        <v>1128</v>
      </c>
      <c r="F55" s="11" t="s">
        <v>300</v>
      </c>
      <c r="G55" s="23" t="s">
        <v>980</v>
      </c>
      <c r="H55" s="23" t="s">
        <v>339</v>
      </c>
      <c r="I55" s="2" t="s">
        <v>28</v>
      </c>
      <c r="J55" s="20">
        <v>1</v>
      </c>
      <c r="K55" s="28">
        <v>434</v>
      </c>
      <c r="L55" s="27">
        <v>84.96</v>
      </c>
      <c r="M55" s="23" t="s">
        <v>1109</v>
      </c>
      <c r="N55" s="23" t="s">
        <v>1110</v>
      </c>
      <c r="O55" s="23" t="s">
        <v>1119</v>
      </c>
    </row>
    <row r="56" spans="1:15" x14ac:dyDescent="0.3">
      <c r="A56" s="2" t="s">
        <v>301</v>
      </c>
      <c r="B56" s="7">
        <v>44495</v>
      </c>
      <c r="C56" s="39" t="s">
        <v>829</v>
      </c>
      <c r="D56" s="23" t="s">
        <v>936</v>
      </c>
      <c r="E56" t="s">
        <v>1128</v>
      </c>
      <c r="F56" s="11" t="s">
        <v>303</v>
      </c>
      <c r="G56" s="23" t="s">
        <v>991</v>
      </c>
      <c r="H56" s="23" t="s">
        <v>1052</v>
      </c>
      <c r="I56" s="2" t="s">
        <v>304</v>
      </c>
      <c r="J56" s="20">
        <v>1</v>
      </c>
      <c r="K56" s="28">
        <v>435</v>
      </c>
      <c r="L56" s="27">
        <v>47.2</v>
      </c>
      <c r="M56" s="23" t="s">
        <v>1108</v>
      </c>
      <c r="N56" s="23" t="s">
        <v>1110</v>
      </c>
      <c r="O56" s="23" t="s">
        <v>1114</v>
      </c>
    </row>
    <row r="57" spans="1:15" x14ac:dyDescent="0.3">
      <c r="A57" s="2" t="s">
        <v>306</v>
      </c>
      <c r="B57" s="7">
        <v>44484</v>
      </c>
      <c r="C57" s="39" t="s">
        <v>830</v>
      </c>
      <c r="D57" s="23" t="s">
        <v>941</v>
      </c>
      <c r="E57" t="s">
        <v>1128</v>
      </c>
      <c r="F57" s="11" t="s">
        <v>308</v>
      </c>
      <c r="G57" s="23" t="s">
        <v>991</v>
      </c>
      <c r="H57" s="23" t="s">
        <v>1052</v>
      </c>
      <c r="I57" s="2" t="s">
        <v>184</v>
      </c>
      <c r="J57" s="20">
        <v>1</v>
      </c>
      <c r="K57" s="28">
        <v>399</v>
      </c>
      <c r="L57" s="27">
        <v>47.2</v>
      </c>
      <c r="M57" s="23" t="s">
        <v>1108</v>
      </c>
      <c r="N57" s="23" t="s">
        <v>1110</v>
      </c>
      <c r="O57" s="23" t="s">
        <v>1120</v>
      </c>
    </row>
    <row r="58" spans="1:15" x14ac:dyDescent="0.3">
      <c r="A58" s="2" t="s">
        <v>309</v>
      </c>
      <c r="B58" s="7">
        <v>44363</v>
      </c>
      <c r="C58" s="39" t="s">
        <v>831</v>
      </c>
      <c r="D58" s="23" t="s">
        <v>937</v>
      </c>
      <c r="E58" t="s">
        <v>1131</v>
      </c>
      <c r="F58" s="11" t="s">
        <v>311</v>
      </c>
      <c r="G58" s="23" t="s">
        <v>1011</v>
      </c>
      <c r="H58" s="23" t="s">
        <v>339</v>
      </c>
      <c r="I58" s="2" t="s">
        <v>163</v>
      </c>
      <c r="J58" s="20">
        <v>1</v>
      </c>
      <c r="K58" s="28"/>
      <c r="M58" s="23" t="s">
        <v>1108</v>
      </c>
      <c r="N58" s="23" t="s">
        <v>1110</v>
      </c>
      <c r="O58" s="23" t="s">
        <v>1114</v>
      </c>
    </row>
    <row r="59" spans="1:15" x14ac:dyDescent="0.3">
      <c r="A59" s="2" t="s">
        <v>314</v>
      </c>
      <c r="B59" s="7">
        <v>44504</v>
      </c>
      <c r="C59" s="39" t="s">
        <v>832</v>
      </c>
      <c r="D59" s="23" t="s">
        <v>938</v>
      </c>
      <c r="E59" t="s">
        <v>1129</v>
      </c>
      <c r="F59" s="11" t="s">
        <v>316</v>
      </c>
      <c r="G59" s="23" t="s">
        <v>980</v>
      </c>
      <c r="H59" s="23" t="s">
        <v>339</v>
      </c>
      <c r="I59" s="2" t="s">
        <v>184</v>
      </c>
      <c r="J59" s="20">
        <v>1</v>
      </c>
      <c r="K59" s="28">
        <v>401</v>
      </c>
      <c r="L59" s="27">
        <v>84.96</v>
      </c>
      <c r="M59" s="23" t="s">
        <v>1108</v>
      </c>
      <c r="N59" s="23" t="s">
        <v>1110</v>
      </c>
      <c r="O59" s="23" t="s">
        <v>1120</v>
      </c>
    </row>
    <row r="60" spans="1:15" x14ac:dyDescent="0.3">
      <c r="A60" s="2" t="s">
        <v>317</v>
      </c>
      <c r="B60" s="7">
        <v>44511</v>
      </c>
      <c r="C60" s="39" t="s">
        <v>833</v>
      </c>
      <c r="D60" s="23" t="s">
        <v>938</v>
      </c>
      <c r="E60" t="s">
        <v>1129</v>
      </c>
      <c r="F60" s="11" t="s">
        <v>319</v>
      </c>
      <c r="G60" s="23" t="s">
        <v>1012</v>
      </c>
      <c r="H60" s="23" t="s">
        <v>1062</v>
      </c>
      <c r="I60" s="2" t="s">
        <v>321</v>
      </c>
      <c r="J60" s="20">
        <v>1</v>
      </c>
      <c r="K60" s="28">
        <v>402</v>
      </c>
      <c r="L60" s="27">
        <v>178.18</v>
      </c>
      <c r="M60" s="23" t="s">
        <v>1109</v>
      </c>
      <c r="N60" s="23" t="s">
        <v>1110</v>
      </c>
      <c r="O60" s="23" t="s">
        <v>1118</v>
      </c>
    </row>
    <row r="61" spans="1:15" x14ac:dyDescent="0.3">
      <c r="A61" s="2" t="s">
        <v>325</v>
      </c>
      <c r="B61" s="7">
        <v>44363</v>
      </c>
      <c r="C61" s="39" t="s">
        <v>834</v>
      </c>
      <c r="D61" s="23" t="s">
        <v>937</v>
      </c>
      <c r="E61" t="s">
        <v>1131</v>
      </c>
      <c r="F61" s="11" t="s">
        <v>954</v>
      </c>
      <c r="G61" s="23" t="s">
        <v>1013</v>
      </c>
      <c r="H61" s="23" t="s">
        <v>339</v>
      </c>
      <c r="I61" s="2" t="s">
        <v>163</v>
      </c>
      <c r="J61" s="20">
        <v>1</v>
      </c>
      <c r="K61" s="28">
        <v>403</v>
      </c>
      <c r="M61" s="23" t="s">
        <v>1108</v>
      </c>
      <c r="N61" s="23" t="s">
        <v>1110</v>
      </c>
      <c r="O61" s="23" t="s">
        <v>1114</v>
      </c>
    </row>
    <row r="62" spans="1:15" x14ac:dyDescent="0.3">
      <c r="A62" s="2" t="s">
        <v>329</v>
      </c>
      <c r="B62" s="7">
        <v>44360</v>
      </c>
      <c r="C62" s="39" t="s">
        <v>835</v>
      </c>
      <c r="D62" s="23" t="s">
        <v>935</v>
      </c>
      <c r="E62" t="s">
        <v>1131</v>
      </c>
      <c r="F62" s="11" t="s">
        <v>331</v>
      </c>
      <c r="G62" s="23" t="s">
        <v>1014</v>
      </c>
      <c r="H62" s="23" t="s">
        <v>1058</v>
      </c>
      <c r="I62" s="2" t="s">
        <v>333</v>
      </c>
      <c r="J62" s="20">
        <v>1</v>
      </c>
      <c r="K62" s="28">
        <v>404</v>
      </c>
      <c r="M62" s="23" t="s">
        <v>1108</v>
      </c>
      <c r="N62" s="23" t="s">
        <v>1110</v>
      </c>
      <c r="O62" s="23" t="s">
        <v>1114</v>
      </c>
    </row>
    <row r="63" spans="1:15" x14ac:dyDescent="0.3">
      <c r="A63" s="2" t="s">
        <v>335</v>
      </c>
      <c r="B63" s="7">
        <v>44529</v>
      </c>
      <c r="C63" s="39" t="s">
        <v>836</v>
      </c>
      <c r="D63" s="23" t="s">
        <v>940</v>
      </c>
      <c r="E63" t="s">
        <v>1129</v>
      </c>
      <c r="F63" s="11" t="s">
        <v>337</v>
      </c>
      <c r="G63" s="23" t="s">
        <v>989</v>
      </c>
      <c r="H63" s="23" t="s">
        <v>339</v>
      </c>
      <c r="I63" s="2" t="s">
        <v>184</v>
      </c>
      <c r="J63" s="20">
        <v>1</v>
      </c>
      <c r="K63" s="28">
        <v>405</v>
      </c>
      <c r="L63" s="27">
        <v>84.96</v>
      </c>
      <c r="M63" s="23" t="s">
        <v>1108</v>
      </c>
      <c r="N63" s="23" t="s">
        <v>1110</v>
      </c>
      <c r="O63" s="23" t="s">
        <v>1120</v>
      </c>
    </row>
    <row r="64" spans="1:15" x14ac:dyDescent="0.3">
      <c r="A64" s="2" t="s">
        <v>340</v>
      </c>
      <c r="B64" s="7">
        <v>44495</v>
      </c>
      <c r="C64" s="39" t="s">
        <v>837</v>
      </c>
      <c r="D64" s="23" t="s">
        <v>936</v>
      </c>
      <c r="E64" t="s">
        <v>1128</v>
      </c>
      <c r="F64" s="11" t="s">
        <v>342</v>
      </c>
      <c r="G64" s="23" t="s">
        <v>980</v>
      </c>
      <c r="H64" s="23" t="s">
        <v>339</v>
      </c>
      <c r="I64" s="2" t="s">
        <v>343</v>
      </c>
      <c r="J64" s="20">
        <v>1</v>
      </c>
      <c r="K64" s="28">
        <v>406</v>
      </c>
      <c r="L64" s="27">
        <v>84.96</v>
      </c>
      <c r="M64" s="23" t="s">
        <v>1108</v>
      </c>
      <c r="N64" s="23" t="s">
        <v>1110</v>
      </c>
      <c r="O64" s="23" t="s">
        <v>1121</v>
      </c>
    </row>
    <row r="65" spans="1:15" x14ac:dyDescent="0.3">
      <c r="A65" s="2" t="s">
        <v>345</v>
      </c>
      <c r="B65" s="7">
        <v>44375</v>
      </c>
      <c r="C65" s="39" t="s">
        <v>838</v>
      </c>
      <c r="D65" s="23" t="s">
        <v>940</v>
      </c>
      <c r="E65" t="s">
        <v>1131</v>
      </c>
      <c r="F65" s="11" t="s">
        <v>347</v>
      </c>
      <c r="G65" s="23" t="s">
        <v>1015</v>
      </c>
      <c r="H65" s="23" t="s">
        <v>1055</v>
      </c>
      <c r="I65" s="2" t="s">
        <v>163</v>
      </c>
      <c r="J65" s="20">
        <v>1</v>
      </c>
      <c r="K65" s="28">
        <v>407</v>
      </c>
      <c r="M65" s="23" t="s">
        <v>1108</v>
      </c>
      <c r="N65" s="23" t="s">
        <v>1110</v>
      </c>
      <c r="O65" s="23" t="s">
        <v>1114</v>
      </c>
    </row>
    <row r="66" spans="1:15" x14ac:dyDescent="0.3">
      <c r="A66" s="2" t="s">
        <v>350</v>
      </c>
      <c r="B66" s="7">
        <v>44509</v>
      </c>
      <c r="C66" s="39" t="s">
        <v>839</v>
      </c>
      <c r="D66" s="23" t="s">
        <v>936</v>
      </c>
      <c r="E66" t="s">
        <v>1129</v>
      </c>
      <c r="F66" s="11" t="s">
        <v>352</v>
      </c>
      <c r="G66" s="23" t="s">
        <v>996</v>
      </c>
      <c r="H66" s="23" t="s">
        <v>1056</v>
      </c>
      <c r="I66" s="2" t="s">
        <v>28</v>
      </c>
      <c r="J66" s="20">
        <v>1</v>
      </c>
      <c r="K66" s="28">
        <v>408</v>
      </c>
      <c r="L66" s="27">
        <v>84.96</v>
      </c>
      <c r="M66" s="23" t="s">
        <v>1108</v>
      </c>
      <c r="N66" s="23" t="s">
        <v>1110</v>
      </c>
      <c r="O66" s="23" t="s">
        <v>1119</v>
      </c>
    </row>
    <row r="67" spans="1:15" x14ac:dyDescent="0.3">
      <c r="A67" s="2" t="s">
        <v>353</v>
      </c>
      <c r="B67" s="7">
        <v>44507</v>
      </c>
      <c r="C67" s="39" t="s">
        <v>840</v>
      </c>
      <c r="D67" s="23" t="s">
        <v>935</v>
      </c>
      <c r="E67" t="s">
        <v>1129</v>
      </c>
      <c r="F67" s="11" t="s">
        <v>355</v>
      </c>
      <c r="G67" s="23" t="s">
        <v>983</v>
      </c>
      <c r="H67" s="23" t="s">
        <v>1053</v>
      </c>
      <c r="I67" s="2" t="s">
        <v>28</v>
      </c>
      <c r="J67" s="20">
        <v>1</v>
      </c>
      <c r="K67" s="28">
        <v>409</v>
      </c>
      <c r="L67" s="27">
        <v>84.96</v>
      </c>
      <c r="M67" s="23" t="s">
        <v>1108</v>
      </c>
      <c r="N67" s="23" t="s">
        <v>1110</v>
      </c>
      <c r="O67" s="23" t="s">
        <v>1119</v>
      </c>
    </row>
    <row r="68" spans="1:15" x14ac:dyDescent="0.3">
      <c r="A68" s="2" t="s">
        <v>356</v>
      </c>
      <c r="B68" s="7">
        <v>44470</v>
      </c>
      <c r="C68" s="39" t="s">
        <v>841</v>
      </c>
      <c r="D68" s="23" t="s">
        <v>941</v>
      </c>
      <c r="E68" t="s">
        <v>1128</v>
      </c>
      <c r="F68" s="11" t="s">
        <v>141</v>
      </c>
      <c r="G68" s="23" t="s">
        <v>980</v>
      </c>
      <c r="H68" s="23" t="s">
        <v>339</v>
      </c>
      <c r="I68" s="2" t="s">
        <v>358</v>
      </c>
      <c r="J68" s="20">
        <v>1</v>
      </c>
      <c r="K68" s="28">
        <v>410</v>
      </c>
      <c r="L68" s="27">
        <v>84.96</v>
      </c>
      <c r="M68" s="23" t="s">
        <v>1109</v>
      </c>
      <c r="N68" s="23" t="s">
        <v>1110</v>
      </c>
      <c r="O68" s="23" t="s">
        <v>1121</v>
      </c>
    </row>
    <row r="69" spans="1:15" x14ac:dyDescent="0.3">
      <c r="A69" s="2" t="s">
        <v>360</v>
      </c>
      <c r="B69" s="7">
        <v>44510</v>
      </c>
      <c r="C69" s="39" t="s">
        <v>842</v>
      </c>
      <c r="D69" s="23" t="s">
        <v>937</v>
      </c>
      <c r="E69" t="s">
        <v>1129</v>
      </c>
      <c r="F69" s="11" t="s">
        <v>362</v>
      </c>
      <c r="G69" s="23" t="s">
        <v>1016</v>
      </c>
      <c r="H69" s="23" t="s">
        <v>1039</v>
      </c>
      <c r="I69" s="2" t="s">
        <v>28</v>
      </c>
      <c r="J69" s="20">
        <v>1</v>
      </c>
      <c r="K69" s="28">
        <v>411</v>
      </c>
      <c r="L69" s="27">
        <v>84.96</v>
      </c>
      <c r="M69" s="23" t="s">
        <v>1108</v>
      </c>
      <c r="N69" s="23" t="s">
        <v>1110</v>
      </c>
      <c r="O69" s="23" t="s">
        <v>1119</v>
      </c>
    </row>
    <row r="70" spans="1:15" x14ac:dyDescent="0.3">
      <c r="A70" s="2" t="s">
        <v>365</v>
      </c>
      <c r="B70" s="7">
        <v>44370</v>
      </c>
      <c r="C70" s="39" t="s">
        <v>843</v>
      </c>
      <c r="D70" s="23" t="s">
        <v>937</v>
      </c>
      <c r="E70" t="s">
        <v>1131</v>
      </c>
      <c r="F70" s="11" t="s">
        <v>367</v>
      </c>
      <c r="G70" s="23" t="s">
        <v>1017</v>
      </c>
      <c r="H70" s="23" t="s">
        <v>1058</v>
      </c>
      <c r="I70" s="2" t="s">
        <v>224</v>
      </c>
      <c r="J70" s="20">
        <v>1</v>
      </c>
      <c r="K70" s="28">
        <v>412</v>
      </c>
      <c r="M70" s="23" t="s">
        <v>1108</v>
      </c>
      <c r="N70" s="23" t="s">
        <v>1110</v>
      </c>
      <c r="O70" s="23" t="s">
        <v>1114</v>
      </c>
    </row>
    <row r="71" spans="1:15" x14ac:dyDescent="0.3">
      <c r="A71" s="2" t="s">
        <v>370</v>
      </c>
      <c r="B71" s="7">
        <v>44458</v>
      </c>
      <c r="C71" s="39" t="s">
        <v>844</v>
      </c>
      <c r="D71" s="23" t="s">
        <v>935</v>
      </c>
      <c r="E71" t="s">
        <v>1130</v>
      </c>
      <c r="F71" s="11" t="s">
        <v>372</v>
      </c>
      <c r="G71" s="23" t="s">
        <v>1018</v>
      </c>
      <c r="H71" s="23" t="s">
        <v>1052</v>
      </c>
      <c r="I71" s="2" t="s">
        <v>28</v>
      </c>
      <c r="J71" s="20">
        <v>1</v>
      </c>
      <c r="K71" s="28">
        <v>413</v>
      </c>
      <c r="L71" s="27">
        <v>47.2</v>
      </c>
      <c r="M71" s="23" t="s">
        <v>1108</v>
      </c>
      <c r="N71" s="23" t="s">
        <v>1110</v>
      </c>
      <c r="O71" s="23" t="s">
        <v>1119</v>
      </c>
    </row>
    <row r="72" spans="1:15" x14ac:dyDescent="0.3">
      <c r="A72" s="2" t="s">
        <v>374</v>
      </c>
      <c r="B72" s="7">
        <v>44479</v>
      </c>
      <c r="C72" s="39" t="s">
        <v>845</v>
      </c>
      <c r="D72" s="23" t="s">
        <v>935</v>
      </c>
      <c r="E72" t="s">
        <v>1128</v>
      </c>
      <c r="F72" s="11" t="s">
        <v>198</v>
      </c>
      <c r="G72" s="23" t="s">
        <v>1002</v>
      </c>
      <c r="H72" s="23" t="s">
        <v>1055</v>
      </c>
      <c r="I72" s="2" t="s">
        <v>184</v>
      </c>
      <c r="J72" s="20">
        <v>1</v>
      </c>
      <c r="K72" s="28">
        <v>414</v>
      </c>
      <c r="L72" s="27">
        <v>60.18</v>
      </c>
      <c r="M72" s="23" t="s">
        <v>1108</v>
      </c>
      <c r="N72" s="23" t="s">
        <v>1110</v>
      </c>
      <c r="O72" s="23" t="s">
        <v>1120</v>
      </c>
    </row>
    <row r="73" spans="1:15" x14ac:dyDescent="0.3">
      <c r="A73" s="2" t="s">
        <v>376</v>
      </c>
      <c r="B73" s="7">
        <v>44424</v>
      </c>
      <c r="C73" s="39" t="s">
        <v>846</v>
      </c>
      <c r="D73" s="23" t="s">
        <v>940</v>
      </c>
      <c r="E73" t="s">
        <v>1132</v>
      </c>
      <c r="F73" s="11" t="s">
        <v>378</v>
      </c>
      <c r="G73" s="23" t="s">
        <v>991</v>
      </c>
      <c r="H73" s="23" t="s">
        <v>1052</v>
      </c>
      <c r="I73" s="2" t="s">
        <v>379</v>
      </c>
      <c r="J73" s="20">
        <v>1</v>
      </c>
      <c r="K73" s="28">
        <v>415</v>
      </c>
      <c r="M73" s="23" t="s">
        <v>1108</v>
      </c>
      <c r="N73" s="23" t="s">
        <v>1110</v>
      </c>
      <c r="O73" s="23" t="s">
        <v>1120</v>
      </c>
    </row>
    <row r="74" spans="1:15" x14ac:dyDescent="0.3">
      <c r="A74" s="2" t="s">
        <v>381</v>
      </c>
      <c r="B74" s="7">
        <v>44406</v>
      </c>
      <c r="C74" s="39" t="s">
        <v>847</v>
      </c>
      <c r="D74" s="23" t="s">
        <v>938</v>
      </c>
      <c r="E74" t="s">
        <v>1127</v>
      </c>
      <c r="F74" s="11" t="s">
        <v>383</v>
      </c>
      <c r="G74" s="23" t="s">
        <v>999</v>
      </c>
      <c r="H74" s="23" t="s">
        <v>1059</v>
      </c>
      <c r="I74" s="2" t="s">
        <v>385</v>
      </c>
      <c r="J74" s="20">
        <v>1</v>
      </c>
      <c r="K74" s="28">
        <v>416</v>
      </c>
      <c r="M74" s="23" t="s">
        <v>1108</v>
      </c>
      <c r="N74" s="23" t="s">
        <v>1110</v>
      </c>
      <c r="O74" s="23" t="s">
        <v>1114</v>
      </c>
    </row>
    <row r="75" spans="1:15" x14ac:dyDescent="0.3">
      <c r="A75" s="2" t="s">
        <v>387</v>
      </c>
      <c r="B75" s="7">
        <v>44398</v>
      </c>
      <c r="C75" s="39" t="s">
        <v>848</v>
      </c>
      <c r="D75" s="23" t="s">
        <v>937</v>
      </c>
      <c r="E75" t="s">
        <v>1127</v>
      </c>
      <c r="F75" s="11" t="s">
        <v>389</v>
      </c>
      <c r="G75" s="23" t="s">
        <v>1019</v>
      </c>
      <c r="H75" s="23" t="s">
        <v>1058</v>
      </c>
      <c r="I75" s="2" t="s">
        <v>391</v>
      </c>
      <c r="J75" s="20">
        <v>1</v>
      </c>
      <c r="K75" s="28">
        <v>417</v>
      </c>
      <c r="M75" s="23" t="s">
        <v>1109</v>
      </c>
      <c r="N75" s="23" t="s">
        <v>1110</v>
      </c>
      <c r="O75" s="23" t="s">
        <v>1114</v>
      </c>
    </row>
    <row r="76" spans="1:15" x14ac:dyDescent="0.3">
      <c r="A76" s="2" t="s">
        <v>393</v>
      </c>
      <c r="B76" s="7">
        <v>44512</v>
      </c>
      <c r="C76" s="39" t="s">
        <v>849</v>
      </c>
      <c r="D76" s="23" t="s">
        <v>941</v>
      </c>
      <c r="E76" t="s">
        <v>1129</v>
      </c>
      <c r="F76" s="11" t="s">
        <v>395</v>
      </c>
      <c r="G76" s="23" t="s">
        <v>1020</v>
      </c>
      <c r="H76" s="23" t="s">
        <v>1065</v>
      </c>
      <c r="I76" s="2" t="s">
        <v>321</v>
      </c>
      <c r="J76" s="20">
        <v>1</v>
      </c>
      <c r="K76" s="28">
        <v>418</v>
      </c>
      <c r="L76" s="27">
        <v>210.04</v>
      </c>
      <c r="M76" s="23" t="s">
        <v>1108</v>
      </c>
      <c r="N76" s="23" t="s">
        <v>1110</v>
      </c>
      <c r="O76" s="23" t="s">
        <v>1118</v>
      </c>
    </row>
    <row r="77" spans="1:15" x14ac:dyDescent="0.3">
      <c r="A77" s="2" t="s">
        <v>399</v>
      </c>
      <c r="B77" s="7">
        <v>44527</v>
      </c>
      <c r="C77" s="39" t="s">
        <v>850</v>
      </c>
      <c r="D77" s="23" t="s">
        <v>939</v>
      </c>
      <c r="E77" t="s">
        <v>1129</v>
      </c>
      <c r="F77" s="11" t="s">
        <v>401</v>
      </c>
      <c r="G77" s="23" t="s">
        <v>1021</v>
      </c>
      <c r="H77" s="23" t="s">
        <v>1058</v>
      </c>
      <c r="I77" s="2" t="s">
        <v>403</v>
      </c>
      <c r="J77" s="20">
        <v>1</v>
      </c>
      <c r="K77" s="28">
        <v>449</v>
      </c>
      <c r="L77" s="27">
        <v>84.96</v>
      </c>
      <c r="M77" s="23" t="s">
        <v>1108</v>
      </c>
      <c r="N77" s="23" t="s">
        <v>1110</v>
      </c>
      <c r="O77" s="23" t="s">
        <v>1114</v>
      </c>
    </row>
    <row r="78" spans="1:15" x14ac:dyDescent="0.3">
      <c r="A78" s="2" t="s">
        <v>405</v>
      </c>
      <c r="B78" s="7">
        <v>44390</v>
      </c>
      <c r="C78" s="39" t="s">
        <v>851</v>
      </c>
      <c r="D78" s="23" t="s">
        <v>936</v>
      </c>
      <c r="E78" t="s">
        <v>1127</v>
      </c>
      <c r="F78" s="11" t="s">
        <v>355</v>
      </c>
      <c r="G78" s="23" t="s">
        <v>993</v>
      </c>
      <c r="H78" s="23" t="s">
        <v>1051</v>
      </c>
      <c r="I78" s="2" t="s">
        <v>295</v>
      </c>
      <c r="J78" s="20">
        <v>1</v>
      </c>
      <c r="K78" s="28">
        <v>349</v>
      </c>
      <c r="M78" s="23" t="s">
        <v>1109</v>
      </c>
      <c r="N78" s="23" t="s">
        <v>1110</v>
      </c>
      <c r="O78" s="23" t="s">
        <v>1114</v>
      </c>
    </row>
    <row r="79" spans="1:15" x14ac:dyDescent="0.3">
      <c r="A79" s="2" t="s">
        <v>407</v>
      </c>
      <c r="B79" s="7">
        <v>44458</v>
      </c>
      <c r="C79" s="39" t="s">
        <v>852</v>
      </c>
      <c r="D79" s="23" t="s">
        <v>935</v>
      </c>
      <c r="E79" t="s">
        <v>1130</v>
      </c>
      <c r="F79" s="11" t="s">
        <v>409</v>
      </c>
      <c r="G79" s="23" t="s">
        <v>1022</v>
      </c>
      <c r="H79" s="23" t="s">
        <v>1064</v>
      </c>
      <c r="I79" s="2" t="s">
        <v>211</v>
      </c>
      <c r="J79" s="20">
        <v>1</v>
      </c>
      <c r="K79" s="28">
        <v>250</v>
      </c>
      <c r="L79" s="27">
        <v>84.96</v>
      </c>
      <c r="M79" s="23" t="s">
        <v>1109</v>
      </c>
      <c r="N79" s="23" t="s">
        <v>1110</v>
      </c>
      <c r="O79" s="23" t="s">
        <v>1120</v>
      </c>
    </row>
    <row r="80" spans="1:15" x14ac:dyDescent="0.3">
      <c r="A80" s="2" t="s">
        <v>411</v>
      </c>
      <c r="B80" s="7">
        <v>44462</v>
      </c>
      <c r="C80" s="39" t="s">
        <v>853</v>
      </c>
      <c r="D80" s="23" t="s">
        <v>938</v>
      </c>
      <c r="E80" t="s">
        <v>1130</v>
      </c>
      <c r="F80" s="11" t="s">
        <v>413</v>
      </c>
      <c r="G80" s="23" t="s">
        <v>1023</v>
      </c>
      <c r="H80" s="23" t="s">
        <v>1055</v>
      </c>
      <c r="I80" s="2" t="s">
        <v>28</v>
      </c>
      <c r="J80" s="20">
        <v>1</v>
      </c>
      <c r="K80" s="28">
        <v>449</v>
      </c>
      <c r="L80" s="27">
        <v>60.18</v>
      </c>
      <c r="M80" s="23" t="s">
        <v>1108</v>
      </c>
      <c r="N80" s="23" t="s">
        <v>1110</v>
      </c>
      <c r="O80" s="23" t="s">
        <v>1119</v>
      </c>
    </row>
    <row r="81" spans="1:15" x14ac:dyDescent="0.3">
      <c r="A81" s="2" t="s">
        <v>415</v>
      </c>
      <c r="B81" s="7">
        <v>44493</v>
      </c>
      <c r="C81" s="39" t="s">
        <v>854</v>
      </c>
      <c r="D81" s="23" t="s">
        <v>935</v>
      </c>
      <c r="E81" t="s">
        <v>1128</v>
      </c>
      <c r="F81" s="11" t="s">
        <v>417</v>
      </c>
      <c r="G81" s="23" t="s">
        <v>984</v>
      </c>
      <c r="H81" s="23" t="s">
        <v>1054</v>
      </c>
      <c r="I81" s="2" t="s">
        <v>418</v>
      </c>
      <c r="J81" s="20">
        <v>1</v>
      </c>
      <c r="K81" s="28">
        <v>549</v>
      </c>
      <c r="L81" s="27">
        <v>84.96</v>
      </c>
      <c r="M81" s="23" t="s">
        <v>1108</v>
      </c>
      <c r="N81" s="23" t="s">
        <v>1110</v>
      </c>
      <c r="O81" s="23" t="s">
        <v>1114</v>
      </c>
    </row>
    <row r="82" spans="1:15" x14ac:dyDescent="0.3">
      <c r="A82" s="2" t="s">
        <v>420</v>
      </c>
      <c r="B82" s="7">
        <v>44510</v>
      </c>
      <c r="C82" s="39" t="s">
        <v>855</v>
      </c>
      <c r="D82" s="23" t="s">
        <v>937</v>
      </c>
      <c r="E82" t="s">
        <v>1129</v>
      </c>
      <c r="F82" s="11" t="s">
        <v>422</v>
      </c>
      <c r="G82" s="23" t="s">
        <v>993</v>
      </c>
      <c r="H82" s="23" t="s">
        <v>1051</v>
      </c>
      <c r="I82" s="2" t="s">
        <v>234</v>
      </c>
      <c r="J82" s="20">
        <v>1</v>
      </c>
      <c r="K82" s="28">
        <v>399</v>
      </c>
      <c r="L82" s="27">
        <v>84.96</v>
      </c>
      <c r="M82" s="23" t="s">
        <v>1108</v>
      </c>
      <c r="N82" s="23" t="s">
        <v>1110</v>
      </c>
      <c r="O82" s="23" t="s">
        <v>1120</v>
      </c>
    </row>
    <row r="83" spans="1:15" x14ac:dyDescent="0.3">
      <c r="A83" s="2" t="s">
        <v>423</v>
      </c>
      <c r="B83" s="7">
        <v>44518</v>
      </c>
      <c r="C83" s="39" t="s">
        <v>856</v>
      </c>
      <c r="D83" s="23" t="s">
        <v>938</v>
      </c>
      <c r="E83" t="s">
        <v>1129</v>
      </c>
      <c r="F83" s="11" t="s">
        <v>425</v>
      </c>
      <c r="G83" s="23" t="s">
        <v>991</v>
      </c>
      <c r="H83" s="23" t="s">
        <v>1052</v>
      </c>
      <c r="I83" s="2" t="s">
        <v>426</v>
      </c>
      <c r="J83" s="20">
        <v>1</v>
      </c>
      <c r="K83" s="28">
        <v>399</v>
      </c>
      <c r="L83" s="27">
        <v>47.2</v>
      </c>
      <c r="M83" s="23" t="s">
        <v>1108</v>
      </c>
      <c r="N83" s="23" t="s">
        <v>1110</v>
      </c>
      <c r="O83" s="23" t="s">
        <v>1121</v>
      </c>
    </row>
    <row r="84" spans="1:15" x14ac:dyDescent="0.3">
      <c r="A84" s="2" t="s">
        <v>428</v>
      </c>
      <c r="B84" s="7">
        <v>44504</v>
      </c>
      <c r="C84" s="39" t="s">
        <v>857</v>
      </c>
      <c r="D84" s="23" t="s">
        <v>938</v>
      </c>
      <c r="E84" t="s">
        <v>1129</v>
      </c>
      <c r="F84" s="11" t="s">
        <v>316</v>
      </c>
      <c r="G84" s="23" t="s">
        <v>980</v>
      </c>
      <c r="H84" s="23" t="s">
        <v>339</v>
      </c>
      <c r="I84" s="2" t="s">
        <v>200</v>
      </c>
      <c r="J84" s="20">
        <v>1</v>
      </c>
      <c r="K84" s="28">
        <v>399</v>
      </c>
      <c r="L84" s="27">
        <v>84.96</v>
      </c>
      <c r="M84" s="23" t="s">
        <v>1108</v>
      </c>
      <c r="N84" s="23" t="s">
        <v>1110</v>
      </c>
      <c r="O84" s="23" t="s">
        <v>1120</v>
      </c>
    </row>
    <row r="85" spans="1:15" x14ac:dyDescent="0.3">
      <c r="A85" s="2" t="s">
        <v>430</v>
      </c>
      <c r="B85" s="7">
        <v>44440</v>
      </c>
      <c r="C85" s="39" t="s">
        <v>858</v>
      </c>
      <c r="D85" s="23" t="s">
        <v>937</v>
      </c>
      <c r="E85" t="s">
        <v>1130</v>
      </c>
      <c r="F85" s="11" t="s">
        <v>432</v>
      </c>
      <c r="G85" s="23" t="s">
        <v>984</v>
      </c>
      <c r="H85" s="23" t="s">
        <v>1054</v>
      </c>
      <c r="I85" s="2" t="s">
        <v>433</v>
      </c>
      <c r="J85" s="20">
        <v>1</v>
      </c>
      <c r="K85" s="28">
        <v>549</v>
      </c>
      <c r="L85" s="27">
        <v>114.46</v>
      </c>
      <c r="M85" s="23" t="s">
        <v>1108</v>
      </c>
      <c r="N85" s="23" t="s">
        <v>1110</v>
      </c>
      <c r="O85" s="23" t="s">
        <v>1114</v>
      </c>
    </row>
    <row r="86" spans="1:15" x14ac:dyDescent="0.3">
      <c r="A86" s="2" t="s">
        <v>435</v>
      </c>
      <c r="B86" s="7">
        <v>44520</v>
      </c>
      <c r="C86" s="39" t="s">
        <v>859</v>
      </c>
      <c r="D86" s="23" t="s">
        <v>939</v>
      </c>
      <c r="E86" t="s">
        <v>1129</v>
      </c>
      <c r="F86" s="11" t="s">
        <v>945</v>
      </c>
      <c r="G86" s="23" t="s">
        <v>980</v>
      </c>
      <c r="H86" s="23" t="s">
        <v>339</v>
      </c>
      <c r="I86" s="2" t="s">
        <v>131</v>
      </c>
      <c r="J86" s="20">
        <v>1</v>
      </c>
      <c r="K86" s="28">
        <v>449</v>
      </c>
      <c r="L86" s="27">
        <v>84.96</v>
      </c>
      <c r="M86" s="23" t="s">
        <v>1108</v>
      </c>
      <c r="N86" s="23" t="s">
        <v>1110</v>
      </c>
      <c r="O86" s="23" t="s">
        <v>1114</v>
      </c>
    </row>
    <row r="87" spans="1:15" x14ac:dyDescent="0.3">
      <c r="A87" s="2" t="s">
        <v>437</v>
      </c>
      <c r="B87" s="7">
        <v>44437</v>
      </c>
      <c r="C87" s="39" t="s">
        <v>822</v>
      </c>
      <c r="D87" s="23" t="s">
        <v>935</v>
      </c>
      <c r="E87" t="s">
        <v>1132</v>
      </c>
      <c r="F87" s="11" t="s">
        <v>439</v>
      </c>
      <c r="G87" s="23" t="s">
        <v>1021</v>
      </c>
      <c r="H87" s="23" t="s">
        <v>1058</v>
      </c>
      <c r="I87" s="2" t="s">
        <v>440</v>
      </c>
      <c r="J87" s="20">
        <v>1</v>
      </c>
      <c r="K87" s="28">
        <v>250</v>
      </c>
      <c r="L87" s="27">
        <v>81.42</v>
      </c>
      <c r="M87" s="23" t="s">
        <v>1109</v>
      </c>
      <c r="N87" s="23" t="s">
        <v>1110</v>
      </c>
      <c r="O87" s="23" t="s">
        <v>1120</v>
      </c>
    </row>
    <row r="88" spans="1:15" x14ac:dyDescent="0.3">
      <c r="A88" s="2" t="s">
        <v>442</v>
      </c>
      <c r="B88" s="7">
        <v>44486</v>
      </c>
      <c r="C88" s="39" t="s">
        <v>860</v>
      </c>
      <c r="D88" s="23" t="s">
        <v>935</v>
      </c>
      <c r="E88" t="s">
        <v>1128</v>
      </c>
      <c r="F88" s="11" t="s">
        <v>444</v>
      </c>
      <c r="G88" s="23" t="s">
        <v>980</v>
      </c>
      <c r="H88" s="23" t="s">
        <v>339</v>
      </c>
      <c r="I88" s="2" t="s">
        <v>28</v>
      </c>
      <c r="J88" s="20">
        <v>2</v>
      </c>
      <c r="K88" s="28">
        <v>898</v>
      </c>
      <c r="L88" s="27">
        <v>84.96</v>
      </c>
      <c r="M88" s="23" t="s">
        <v>1108</v>
      </c>
      <c r="N88" s="23" t="s">
        <v>1110</v>
      </c>
      <c r="O88" s="23" t="s">
        <v>1119</v>
      </c>
    </row>
    <row r="89" spans="1:15" x14ac:dyDescent="0.3">
      <c r="A89" s="2" t="s">
        <v>447</v>
      </c>
      <c r="B89" s="7">
        <v>44476</v>
      </c>
      <c r="C89" s="39" t="s">
        <v>861</v>
      </c>
      <c r="D89" s="23" t="s">
        <v>938</v>
      </c>
      <c r="E89" t="s">
        <v>1128</v>
      </c>
      <c r="F89" s="11" t="s">
        <v>352</v>
      </c>
      <c r="G89" s="23" t="s">
        <v>1024</v>
      </c>
      <c r="H89" s="23" t="s">
        <v>1053</v>
      </c>
      <c r="I89" s="2" t="s">
        <v>379</v>
      </c>
      <c r="J89" s="20">
        <v>1</v>
      </c>
      <c r="K89" s="28" t="s">
        <v>21</v>
      </c>
      <c r="L89" s="27">
        <v>84.96</v>
      </c>
      <c r="M89" s="23" t="s">
        <v>1108</v>
      </c>
      <c r="N89" s="23" t="s">
        <v>1110</v>
      </c>
      <c r="O89" s="23" t="s">
        <v>1120</v>
      </c>
    </row>
    <row r="90" spans="1:15" x14ac:dyDescent="0.3">
      <c r="A90" s="2" t="s">
        <v>450</v>
      </c>
      <c r="B90" s="7">
        <v>44515</v>
      </c>
      <c r="C90" s="39" t="s">
        <v>862</v>
      </c>
      <c r="D90" s="23" t="s">
        <v>940</v>
      </c>
      <c r="E90" t="s">
        <v>1129</v>
      </c>
      <c r="F90" s="11" t="s">
        <v>955</v>
      </c>
      <c r="G90" s="23" t="s">
        <v>1025</v>
      </c>
      <c r="H90" s="23" t="s">
        <v>1064</v>
      </c>
      <c r="I90" s="2" t="s">
        <v>70</v>
      </c>
      <c r="J90" s="20">
        <v>1</v>
      </c>
      <c r="K90" s="28">
        <v>399</v>
      </c>
      <c r="L90" s="27">
        <v>210.04</v>
      </c>
      <c r="M90" s="23" t="s">
        <v>1108</v>
      </c>
      <c r="N90" s="23" t="s">
        <v>1110</v>
      </c>
      <c r="O90" s="23" t="s">
        <v>1121</v>
      </c>
    </row>
    <row r="91" spans="1:15" x14ac:dyDescent="0.3">
      <c r="A91" s="2" t="s">
        <v>454</v>
      </c>
      <c r="B91" s="7">
        <v>44403</v>
      </c>
      <c r="C91" s="39" t="s">
        <v>863</v>
      </c>
      <c r="D91" s="23" t="s">
        <v>940</v>
      </c>
      <c r="E91" t="s">
        <v>1127</v>
      </c>
      <c r="F91" s="11" t="s">
        <v>456</v>
      </c>
      <c r="G91" s="23" t="s">
        <v>1021</v>
      </c>
      <c r="H91" s="23" t="s">
        <v>1058</v>
      </c>
      <c r="I91" s="2" t="s">
        <v>457</v>
      </c>
      <c r="J91" s="20">
        <v>1</v>
      </c>
      <c r="K91" s="28">
        <v>449</v>
      </c>
      <c r="M91" s="23" t="s">
        <v>1108</v>
      </c>
      <c r="N91" s="23" t="s">
        <v>1110</v>
      </c>
      <c r="O91" s="23" t="s">
        <v>1114</v>
      </c>
    </row>
    <row r="92" spans="1:15" x14ac:dyDescent="0.3">
      <c r="A92" s="2" t="s">
        <v>459</v>
      </c>
      <c r="B92" s="7">
        <v>44428</v>
      </c>
      <c r="C92" s="39" t="s">
        <v>864</v>
      </c>
      <c r="D92" s="23" t="s">
        <v>941</v>
      </c>
      <c r="E92" t="s">
        <v>1132</v>
      </c>
      <c r="F92" s="11" t="s">
        <v>956</v>
      </c>
      <c r="G92" s="23" t="s">
        <v>1012</v>
      </c>
      <c r="H92" s="23" t="s">
        <v>1062</v>
      </c>
      <c r="I92" s="2" t="s">
        <v>462</v>
      </c>
      <c r="J92" s="20">
        <v>1</v>
      </c>
      <c r="K92" s="28">
        <v>1099</v>
      </c>
      <c r="M92" s="23" t="s">
        <v>1109</v>
      </c>
      <c r="N92" s="23" t="s">
        <v>1110</v>
      </c>
      <c r="O92" s="23" t="s">
        <v>1118</v>
      </c>
    </row>
    <row r="93" spans="1:15" x14ac:dyDescent="0.3">
      <c r="A93" s="2" t="s">
        <v>464</v>
      </c>
      <c r="B93" s="7">
        <v>44525</v>
      </c>
      <c r="C93" s="39" t="s">
        <v>865</v>
      </c>
      <c r="D93" s="23" t="s">
        <v>938</v>
      </c>
      <c r="E93" t="s">
        <v>1129</v>
      </c>
      <c r="F93" s="11" t="s">
        <v>957</v>
      </c>
      <c r="G93" s="23" t="s">
        <v>996</v>
      </c>
      <c r="H93" s="23" t="s">
        <v>1056</v>
      </c>
      <c r="I93" s="2" t="s">
        <v>184</v>
      </c>
      <c r="J93" s="20">
        <v>1</v>
      </c>
      <c r="K93" s="28">
        <v>399</v>
      </c>
      <c r="L93" s="27">
        <v>84.96</v>
      </c>
      <c r="M93" s="23" t="s">
        <v>1108</v>
      </c>
      <c r="N93" s="23" t="s">
        <v>1110</v>
      </c>
      <c r="O93" s="23" t="s">
        <v>1120</v>
      </c>
    </row>
    <row r="94" spans="1:15" x14ac:dyDescent="0.3">
      <c r="A94" s="2" t="s">
        <v>467</v>
      </c>
      <c r="B94" s="7">
        <v>44476</v>
      </c>
      <c r="C94" s="39" t="s">
        <v>866</v>
      </c>
      <c r="D94" s="23" t="s">
        <v>938</v>
      </c>
      <c r="E94" t="s">
        <v>1128</v>
      </c>
      <c r="F94" s="11" t="s">
        <v>469</v>
      </c>
      <c r="G94" s="23" t="s">
        <v>1007</v>
      </c>
      <c r="H94" s="23" t="s">
        <v>1063</v>
      </c>
      <c r="I94" s="2" t="s">
        <v>63</v>
      </c>
      <c r="J94" s="20">
        <v>1</v>
      </c>
      <c r="K94" s="28">
        <v>649</v>
      </c>
      <c r="L94" s="27">
        <v>60.18</v>
      </c>
      <c r="M94" s="23" t="s">
        <v>1109</v>
      </c>
      <c r="N94" s="23" t="s">
        <v>1110</v>
      </c>
      <c r="O94" s="23" t="s">
        <v>1122</v>
      </c>
    </row>
    <row r="95" spans="1:15" x14ac:dyDescent="0.3">
      <c r="A95" s="2" t="s">
        <v>470</v>
      </c>
      <c r="B95" s="7">
        <v>44426</v>
      </c>
      <c r="C95" s="39" t="s">
        <v>867</v>
      </c>
      <c r="D95" s="23" t="s">
        <v>937</v>
      </c>
      <c r="E95" t="s">
        <v>1132</v>
      </c>
      <c r="F95" s="11" t="s">
        <v>958</v>
      </c>
      <c r="G95" s="23" t="s">
        <v>980</v>
      </c>
      <c r="H95" s="23" t="s">
        <v>339</v>
      </c>
      <c r="I95" s="2" t="s">
        <v>137</v>
      </c>
      <c r="J95" s="20">
        <v>1</v>
      </c>
      <c r="K95" s="28">
        <v>399</v>
      </c>
      <c r="M95" s="23" t="s">
        <v>1108</v>
      </c>
      <c r="N95" s="23" t="s">
        <v>1110</v>
      </c>
      <c r="O95" s="23" t="s">
        <v>1120</v>
      </c>
    </row>
    <row r="96" spans="1:15" x14ac:dyDescent="0.3">
      <c r="A96" s="2" t="s">
        <v>473</v>
      </c>
      <c r="B96" s="7">
        <v>44516</v>
      </c>
      <c r="C96" s="39" t="s">
        <v>868</v>
      </c>
      <c r="D96" s="23" t="s">
        <v>936</v>
      </c>
      <c r="E96" t="s">
        <v>1129</v>
      </c>
      <c r="F96" s="11" t="s">
        <v>422</v>
      </c>
      <c r="G96" s="23" t="s">
        <v>993</v>
      </c>
      <c r="H96" s="23" t="s">
        <v>1051</v>
      </c>
      <c r="I96" s="2" t="s">
        <v>426</v>
      </c>
      <c r="J96" s="20">
        <v>1</v>
      </c>
      <c r="K96" s="28">
        <v>399</v>
      </c>
      <c r="L96" s="27">
        <v>84.96</v>
      </c>
      <c r="M96" s="23" t="s">
        <v>1108</v>
      </c>
      <c r="N96" s="23" t="s">
        <v>1110</v>
      </c>
      <c r="O96" s="23" t="s">
        <v>1121</v>
      </c>
    </row>
    <row r="97" spans="1:15" x14ac:dyDescent="0.3">
      <c r="A97" s="2" t="s">
        <v>475</v>
      </c>
      <c r="B97" s="7">
        <v>44513</v>
      </c>
      <c r="C97" s="39" t="s">
        <v>869</v>
      </c>
      <c r="D97" s="23" t="s">
        <v>939</v>
      </c>
      <c r="E97" t="s">
        <v>1129</v>
      </c>
      <c r="F97" s="11" t="s">
        <v>477</v>
      </c>
      <c r="G97" s="23" t="s">
        <v>1005</v>
      </c>
      <c r="H97" s="23" t="s">
        <v>1062</v>
      </c>
      <c r="I97" s="2" t="s">
        <v>17</v>
      </c>
      <c r="J97" s="20">
        <v>1</v>
      </c>
      <c r="K97" s="28">
        <v>449</v>
      </c>
      <c r="L97" s="27">
        <v>84.96</v>
      </c>
      <c r="M97" s="23" t="s">
        <v>1108</v>
      </c>
      <c r="N97" s="23" t="s">
        <v>1110</v>
      </c>
      <c r="O97" s="23" t="s">
        <v>1114</v>
      </c>
    </row>
    <row r="98" spans="1:15" x14ac:dyDescent="0.3">
      <c r="A98" s="2" t="s">
        <v>478</v>
      </c>
      <c r="B98" s="7">
        <v>44455</v>
      </c>
      <c r="C98" s="39" t="s">
        <v>870</v>
      </c>
      <c r="D98" s="23" t="s">
        <v>938</v>
      </c>
      <c r="E98" t="s">
        <v>1130</v>
      </c>
      <c r="F98" s="11" t="s">
        <v>480</v>
      </c>
      <c r="G98" s="23" t="s">
        <v>1026</v>
      </c>
      <c r="H98" s="23" t="s">
        <v>1053</v>
      </c>
      <c r="I98" s="2" t="s">
        <v>184</v>
      </c>
      <c r="J98" s="20">
        <v>1</v>
      </c>
      <c r="K98" s="28" t="s">
        <v>21</v>
      </c>
      <c r="L98" s="27">
        <v>84.96</v>
      </c>
      <c r="M98" s="23" t="s">
        <v>1108</v>
      </c>
      <c r="N98" s="23" t="s">
        <v>1110</v>
      </c>
      <c r="O98" s="23" t="s">
        <v>1120</v>
      </c>
    </row>
    <row r="99" spans="1:15" x14ac:dyDescent="0.3">
      <c r="A99" s="2" t="s">
        <v>482</v>
      </c>
      <c r="B99" s="7">
        <v>44518</v>
      </c>
      <c r="C99" s="39" t="s">
        <v>871</v>
      </c>
      <c r="D99" s="23" t="s">
        <v>938</v>
      </c>
      <c r="E99" t="s">
        <v>1129</v>
      </c>
      <c r="F99" s="11" t="s">
        <v>155</v>
      </c>
      <c r="G99" s="23" t="s">
        <v>996</v>
      </c>
      <c r="H99" s="23" t="s">
        <v>1056</v>
      </c>
      <c r="I99" s="2" t="s">
        <v>28</v>
      </c>
      <c r="J99" s="20">
        <v>3</v>
      </c>
      <c r="K99" s="28">
        <v>1347</v>
      </c>
      <c r="L99" s="27">
        <v>84.96</v>
      </c>
      <c r="M99" s="23" t="s">
        <v>1108</v>
      </c>
      <c r="N99" s="23" t="s">
        <v>1110</v>
      </c>
      <c r="O99" s="23" t="s">
        <v>1119</v>
      </c>
    </row>
    <row r="100" spans="1:15" x14ac:dyDescent="0.3">
      <c r="A100" s="2" t="s">
        <v>486</v>
      </c>
      <c r="B100" s="7">
        <v>44478</v>
      </c>
      <c r="C100" s="39" t="s">
        <v>872</v>
      </c>
      <c r="D100" s="23" t="s">
        <v>939</v>
      </c>
      <c r="E100" t="s">
        <v>1128</v>
      </c>
      <c r="F100" s="11" t="s">
        <v>488</v>
      </c>
      <c r="G100" s="23" t="s">
        <v>999</v>
      </c>
      <c r="H100" s="23" t="s">
        <v>1059</v>
      </c>
      <c r="I100" s="2" t="s">
        <v>418</v>
      </c>
      <c r="J100" s="20">
        <v>1</v>
      </c>
      <c r="K100" s="28">
        <v>549</v>
      </c>
      <c r="L100" s="27">
        <v>84.96</v>
      </c>
      <c r="M100" s="23" t="s">
        <v>1108</v>
      </c>
      <c r="N100" s="23" t="s">
        <v>1110</v>
      </c>
      <c r="O100" s="23" t="s">
        <v>1114</v>
      </c>
    </row>
    <row r="101" spans="1:15" x14ac:dyDescent="0.3">
      <c r="A101" s="2" t="s">
        <v>489</v>
      </c>
      <c r="B101" s="7">
        <v>44416</v>
      </c>
      <c r="C101" s="39" t="s">
        <v>873</v>
      </c>
      <c r="D101" s="23" t="s">
        <v>935</v>
      </c>
      <c r="E101" t="s">
        <v>1132</v>
      </c>
      <c r="F101" s="11" t="s">
        <v>959</v>
      </c>
      <c r="G101" s="23" t="s">
        <v>984</v>
      </c>
      <c r="H101" s="23" t="s">
        <v>1054</v>
      </c>
      <c r="I101" s="2" t="s">
        <v>234</v>
      </c>
      <c r="J101" s="20">
        <v>1</v>
      </c>
      <c r="K101" s="28">
        <v>399</v>
      </c>
      <c r="M101" s="23" t="s">
        <v>1109</v>
      </c>
      <c r="N101" s="23" t="s">
        <v>1110</v>
      </c>
      <c r="O101" s="23" t="s">
        <v>1120</v>
      </c>
    </row>
    <row r="102" spans="1:15" x14ac:dyDescent="0.3">
      <c r="A102" s="2" t="s">
        <v>492</v>
      </c>
      <c r="B102" s="7">
        <v>44617</v>
      </c>
      <c r="C102" s="39" t="s">
        <v>874</v>
      </c>
      <c r="D102" s="23" t="s">
        <v>941</v>
      </c>
      <c r="E102" t="s">
        <v>1133</v>
      </c>
      <c r="F102" s="11" t="s">
        <v>960</v>
      </c>
      <c r="G102" s="23" t="s">
        <v>1027</v>
      </c>
      <c r="H102" s="23" t="s">
        <v>1052</v>
      </c>
      <c r="I102" s="2" t="s">
        <v>496</v>
      </c>
      <c r="J102" s="20">
        <v>1</v>
      </c>
      <c r="K102" s="28">
        <v>449</v>
      </c>
      <c r="L102" s="27">
        <v>60.18</v>
      </c>
      <c r="M102" s="23" t="s">
        <v>1108</v>
      </c>
      <c r="N102" s="23" t="s">
        <v>1110</v>
      </c>
      <c r="O102" s="23" t="s">
        <v>1114</v>
      </c>
    </row>
    <row r="103" spans="1:15" x14ac:dyDescent="0.3">
      <c r="A103" s="2" t="s">
        <v>498</v>
      </c>
      <c r="B103" s="7">
        <v>44588</v>
      </c>
      <c r="C103" s="39" t="s">
        <v>875</v>
      </c>
      <c r="D103" s="23" t="s">
        <v>938</v>
      </c>
      <c r="E103" t="s">
        <v>1134</v>
      </c>
      <c r="F103" s="11" t="s">
        <v>500</v>
      </c>
      <c r="G103" s="23" t="s">
        <v>999</v>
      </c>
      <c r="H103" s="23" t="s">
        <v>1059</v>
      </c>
      <c r="I103" s="2" t="s">
        <v>391</v>
      </c>
      <c r="J103" s="20">
        <v>1</v>
      </c>
      <c r="K103" s="28">
        <v>549</v>
      </c>
      <c r="L103" s="27">
        <v>84.96</v>
      </c>
      <c r="M103" s="23" t="s">
        <v>1109</v>
      </c>
      <c r="N103" s="23" t="s">
        <v>1110</v>
      </c>
      <c r="O103" s="23" t="s">
        <v>1114</v>
      </c>
    </row>
    <row r="104" spans="1:15" x14ac:dyDescent="0.3">
      <c r="A104" s="2" t="s">
        <v>501</v>
      </c>
      <c r="B104" s="7">
        <v>44591</v>
      </c>
      <c r="C104" s="39" t="s">
        <v>876</v>
      </c>
      <c r="D104" s="23" t="s">
        <v>935</v>
      </c>
      <c r="E104" t="s">
        <v>1134</v>
      </c>
      <c r="F104" s="11" t="s">
        <v>961</v>
      </c>
      <c r="G104" s="23" t="s">
        <v>980</v>
      </c>
      <c r="H104" s="23" t="s">
        <v>339</v>
      </c>
      <c r="I104" s="2" t="s">
        <v>379</v>
      </c>
      <c r="J104" s="20">
        <v>1</v>
      </c>
      <c r="K104" s="28">
        <v>499</v>
      </c>
      <c r="L104" s="27">
        <v>84.96</v>
      </c>
      <c r="M104" s="23" t="s">
        <v>1108</v>
      </c>
      <c r="N104" s="23" t="s">
        <v>1110</v>
      </c>
      <c r="O104" s="23" t="s">
        <v>1120</v>
      </c>
    </row>
    <row r="105" spans="1:15" x14ac:dyDescent="0.3">
      <c r="A105" s="2" t="s">
        <v>506</v>
      </c>
      <c r="B105" s="7">
        <v>44586</v>
      </c>
      <c r="C105" s="39" t="s">
        <v>877</v>
      </c>
      <c r="D105" s="23" t="s">
        <v>936</v>
      </c>
      <c r="E105" t="s">
        <v>1134</v>
      </c>
      <c r="F105" s="11" t="s">
        <v>508</v>
      </c>
      <c r="G105" s="23" t="s">
        <v>1028</v>
      </c>
      <c r="H105" s="23" t="s">
        <v>1065</v>
      </c>
      <c r="I105" s="2" t="s">
        <v>28</v>
      </c>
      <c r="J105" s="20">
        <v>1</v>
      </c>
      <c r="K105" s="28">
        <v>449</v>
      </c>
      <c r="L105" s="27">
        <v>84.96</v>
      </c>
      <c r="M105" s="23" t="s">
        <v>1109</v>
      </c>
      <c r="N105" s="23" t="s">
        <v>1110</v>
      </c>
      <c r="O105" s="23" t="s">
        <v>1119</v>
      </c>
    </row>
    <row r="106" spans="1:15" x14ac:dyDescent="0.3">
      <c r="A106" s="2" t="s">
        <v>510</v>
      </c>
      <c r="B106" s="7">
        <v>44564</v>
      </c>
      <c r="C106" s="39" t="s">
        <v>878</v>
      </c>
      <c r="D106" s="23" t="s">
        <v>940</v>
      </c>
      <c r="E106" t="s">
        <v>1134</v>
      </c>
      <c r="F106" s="11" t="s">
        <v>512</v>
      </c>
      <c r="G106" s="23" t="s">
        <v>1029</v>
      </c>
      <c r="H106" s="23" t="s">
        <v>1052</v>
      </c>
      <c r="I106" s="2" t="s">
        <v>63</v>
      </c>
      <c r="J106" s="20">
        <v>1</v>
      </c>
      <c r="K106" s="28">
        <v>649</v>
      </c>
      <c r="L106" s="27">
        <v>60.18</v>
      </c>
      <c r="M106" s="23" t="s">
        <v>1108</v>
      </c>
      <c r="N106" s="23" t="s">
        <v>1110</v>
      </c>
      <c r="O106" s="23" t="s">
        <v>1122</v>
      </c>
    </row>
    <row r="107" spans="1:15" x14ac:dyDescent="0.3">
      <c r="A107" s="2" t="s">
        <v>514</v>
      </c>
      <c r="B107" s="7">
        <v>44529</v>
      </c>
      <c r="C107" s="39" t="s">
        <v>879</v>
      </c>
      <c r="D107" s="23" t="s">
        <v>940</v>
      </c>
      <c r="E107" t="s">
        <v>1129</v>
      </c>
      <c r="F107" s="11" t="s">
        <v>516</v>
      </c>
      <c r="G107" s="23" t="s">
        <v>1030</v>
      </c>
      <c r="H107" s="23" t="s">
        <v>1053</v>
      </c>
      <c r="I107" s="2" t="s">
        <v>518</v>
      </c>
      <c r="J107" s="20">
        <v>1</v>
      </c>
      <c r="K107" s="28">
        <v>399</v>
      </c>
      <c r="L107" s="27">
        <v>84.96</v>
      </c>
      <c r="M107" s="23" t="s">
        <v>1108</v>
      </c>
      <c r="N107" s="23" t="s">
        <v>1110</v>
      </c>
      <c r="O107" s="23" t="s">
        <v>1121</v>
      </c>
    </row>
    <row r="108" spans="1:15" x14ac:dyDescent="0.3">
      <c r="A108" s="2" t="s">
        <v>520</v>
      </c>
      <c r="B108" s="7">
        <v>44553</v>
      </c>
      <c r="C108" s="39" t="s">
        <v>823</v>
      </c>
      <c r="D108" s="23" t="s">
        <v>938</v>
      </c>
      <c r="E108" t="s">
        <v>1135</v>
      </c>
      <c r="F108" s="11" t="s">
        <v>522</v>
      </c>
      <c r="G108" s="23" t="s">
        <v>984</v>
      </c>
      <c r="H108" s="23" t="s">
        <v>1054</v>
      </c>
      <c r="I108" s="2" t="s">
        <v>131</v>
      </c>
      <c r="J108" s="20">
        <v>1</v>
      </c>
      <c r="K108" s="28" t="s">
        <v>21</v>
      </c>
      <c r="L108" s="27">
        <v>84.96</v>
      </c>
      <c r="M108" s="23" t="s">
        <v>1108</v>
      </c>
      <c r="N108" s="23" t="s">
        <v>1110</v>
      </c>
      <c r="O108" s="23" t="s">
        <v>1114</v>
      </c>
    </row>
    <row r="109" spans="1:15" x14ac:dyDescent="0.3">
      <c r="A109" s="2" t="s">
        <v>523</v>
      </c>
      <c r="B109" s="7">
        <v>44602</v>
      </c>
      <c r="C109" s="39" t="s">
        <v>880</v>
      </c>
      <c r="D109" s="23" t="s">
        <v>938</v>
      </c>
      <c r="E109" t="s">
        <v>1133</v>
      </c>
      <c r="F109" s="11" t="s">
        <v>962</v>
      </c>
      <c r="G109" s="23" t="s">
        <v>977</v>
      </c>
      <c r="H109" s="23" t="s">
        <v>1066</v>
      </c>
      <c r="I109" s="2" t="s">
        <v>234</v>
      </c>
      <c r="J109" s="20">
        <v>1</v>
      </c>
      <c r="K109" s="28">
        <v>475</v>
      </c>
      <c r="L109" s="27">
        <v>84.96</v>
      </c>
      <c r="M109" s="23" t="s">
        <v>1109</v>
      </c>
      <c r="N109" s="23" t="s">
        <v>1110</v>
      </c>
      <c r="O109" s="23" t="s">
        <v>1120</v>
      </c>
    </row>
    <row r="110" spans="1:15" x14ac:dyDescent="0.3">
      <c r="A110" s="2" t="s">
        <v>528</v>
      </c>
      <c r="B110" s="7">
        <v>44617</v>
      </c>
      <c r="C110" s="39" t="s">
        <v>881</v>
      </c>
      <c r="D110" s="23" t="s">
        <v>941</v>
      </c>
      <c r="E110" t="s">
        <v>1133</v>
      </c>
      <c r="F110" s="11" t="s">
        <v>530</v>
      </c>
      <c r="G110" s="23" t="s">
        <v>1031</v>
      </c>
      <c r="H110" s="23" t="s">
        <v>1051</v>
      </c>
      <c r="I110" s="2" t="s">
        <v>289</v>
      </c>
      <c r="J110" s="20">
        <v>1</v>
      </c>
      <c r="K110" s="28">
        <v>399</v>
      </c>
      <c r="L110" s="27">
        <v>84.96</v>
      </c>
      <c r="M110" s="23" t="s">
        <v>1109</v>
      </c>
      <c r="N110" s="23" t="s">
        <v>1110</v>
      </c>
      <c r="O110" s="23" t="s">
        <v>1121</v>
      </c>
    </row>
    <row r="111" spans="1:15" x14ac:dyDescent="0.3">
      <c r="A111" s="2" t="s">
        <v>533</v>
      </c>
      <c r="B111" s="7">
        <v>44556</v>
      </c>
      <c r="C111" s="39" t="s">
        <v>882</v>
      </c>
      <c r="D111" s="23" t="s">
        <v>935</v>
      </c>
      <c r="E111" t="s">
        <v>1135</v>
      </c>
      <c r="F111" s="11" t="s">
        <v>535</v>
      </c>
      <c r="G111" s="23" t="s">
        <v>991</v>
      </c>
      <c r="H111" s="23" t="s">
        <v>1052</v>
      </c>
      <c r="I111" s="2" t="s">
        <v>537</v>
      </c>
      <c r="J111" s="20">
        <v>1</v>
      </c>
      <c r="K111" s="28">
        <v>1299</v>
      </c>
      <c r="L111" s="27">
        <v>80.239999999999995</v>
      </c>
      <c r="M111" s="23" t="s">
        <v>1108</v>
      </c>
      <c r="N111" s="23" t="s">
        <v>1110</v>
      </c>
      <c r="O111" s="23" t="s">
        <v>1118</v>
      </c>
    </row>
    <row r="112" spans="1:15" x14ac:dyDescent="0.3">
      <c r="A112" s="2" t="s">
        <v>540</v>
      </c>
      <c r="B112" s="7">
        <v>44580</v>
      </c>
      <c r="C112" s="39" t="s">
        <v>883</v>
      </c>
      <c r="D112" s="23" t="s">
        <v>937</v>
      </c>
      <c r="E112" t="s">
        <v>1134</v>
      </c>
      <c r="F112" s="11" t="s">
        <v>542</v>
      </c>
      <c r="G112" s="23" t="s">
        <v>977</v>
      </c>
      <c r="H112" s="23" t="s">
        <v>977</v>
      </c>
      <c r="I112" s="2" t="s">
        <v>17</v>
      </c>
      <c r="J112" s="20">
        <v>1</v>
      </c>
      <c r="K112" s="28">
        <v>449</v>
      </c>
      <c r="L112" s="27">
        <v>84.96</v>
      </c>
      <c r="M112" s="23" t="s">
        <v>1108</v>
      </c>
      <c r="N112" s="23" t="s">
        <v>1110</v>
      </c>
      <c r="O112" s="23" t="s">
        <v>1114</v>
      </c>
    </row>
    <row r="113" spans="1:15" x14ac:dyDescent="0.3">
      <c r="A113" s="2" t="s">
        <v>543</v>
      </c>
      <c r="B113" s="7">
        <v>44539</v>
      </c>
      <c r="C113" s="39" t="s">
        <v>884</v>
      </c>
      <c r="D113" s="23" t="s">
        <v>938</v>
      </c>
      <c r="E113" t="s">
        <v>1135</v>
      </c>
      <c r="F113" s="11" t="s">
        <v>545</v>
      </c>
      <c r="G113" s="23" t="s">
        <v>1030</v>
      </c>
      <c r="H113" s="23" t="s">
        <v>1053</v>
      </c>
      <c r="I113" s="2" t="s">
        <v>321</v>
      </c>
      <c r="J113" s="20">
        <v>1</v>
      </c>
      <c r="K113" s="28">
        <v>1299</v>
      </c>
      <c r="L113" s="27">
        <v>146.32</v>
      </c>
      <c r="M113" s="23" t="s">
        <v>1108</v>
      </c>
      <c r="N113" s="23" t="s">
        <v>1110</v>
      </c>
      <c r="O113" s="23" t="s">
        <v>1118</v>
      </c>
    </row>
    <row r="114" spans="1:15" x14ac:dyDescent="0.3">
      <c r="A114" s="2" t="s">
        <v>547</v>
      </c>
      <c r="B114" s="7">
        <v>44547</v>
      </c>
      <c r="C114" s="39" t="s">
        <v>885</v>
      </c>
      <c r="D114" s="23" t="s">
        <v>941</v>
      </c>
      <c r="E114" t="s">
        <v>1135</v>
      </c>
      <c r="F114" s="11" t="s">
        <v>549</v>
      </c>
      <c r="G114" s="23" t="s">
        <v>1032</v>
      </c>
      <c r="H114" s="23" t="s">
        <v>1067</v>
      </c>
      <c r="I114" s="2" t="s">
        <v>552</v>
      </c>
      <c r="J114" s="20">
        <v>1</v>
      </c>
      <c r="K114" s="28">
        <v>549</v>
      </c>
      <c r="L114" s="27">
        <v>60.18</v>
      </c>
      <c r="M114" s="23" t="s">
        <v>1109</v>
      </c>
      <c r="N114" s="23" t="s">
        <v>1110</v>
      </c>
      <c r="O114" s="23" t="s">
        <v>1114</v>
      </c>
    </row>
    <row r="115" spans="1:15" x14ac:dyDescent="0.3">
      <c r="A115" s="2" t="s">
        <v>554</v>
      </c>
      <c r="B115" s="7">
        <v>44538</v>
      </c>
      <c r="C115" s="39" t="s">
        <v>886</v>
      </c>
      <c r="D115" s="23" t="s">
        <v>937</v>
      </c>
      <c r="E115" t="s">
        <v>1135</v>
      </c>
      <c r="F115" s="11" t="s">
        <v>963</v>
      </c>
      <c r="G115" s="23" t="s">
        <v>996</v>
      </c>
      <c r="H115" s="23" t="s">
        <v>1056</v>
      </c>
      <c r="I115" s="2" t="s">
        <v>234</v>
      </c>
      <c r="J115" s="20">
        <v>1</v>
      </c>
      <c r="K115" s="28">
        <v>399</v>
      </c>
      <c r="L115" s="27">
        <v>84.96</v>
      </c>
      <c r="M115" s="23" t="s">
        <v>1108</v>
      </c>
      <c r="N115" s="23" t="s">
        <v>1110</v>
      </c>
      <c r="O115" s="23" t="s">
        <v>1120</v>
      </c>
    </row>
    <row r="116" spans="1:15" x14ac:dyDescent="0.3">
      <c r="A116" s="2" t="s">
        <v>557</v>
      </c>
      <c r="B116" s="7">
        <v>44584</v>
      </c>
      <c r="C116" s="39" t="s">
        <v>887</v>
      </c>
      <c r="D116" s="23" t="s">
        <v>935</v>
      </c>
      <c r="E116" t="s">
        <v>1134</v>
      </c>
      <c r="F116" s="11" t="s">
        <v>559</v>
      </c>
      <c r="G116" s="23" t="s">
        <v>1008</v>
      </c>
      <c r="H116" s="23" t="s">
        <v>1064</v>
      </c>
      <c r="I116" s="2" t="s">
        <v>560</v>
      </c>
      <c r="J116" s="20">
        <v>1</v>
      </c>
      <c r="K116" s="28" t="s">
        <v>21</v>
      </c>
      <c r="L116" s="27">
        <v>84.96</v>
      </c>
      <c r="M116" s="23" t="s">
        <v>1108</v>
      </c>
      <c r="N116" s="23" t="s">
        <v>1111</v>
      </c>
      <c r="O116" s="23" t="s">
        <v>1121</v>
      </c>
    </row>
    <row r="117" spans="1:15" x14ac:dyDescent="0.3">
      <c r="A117" s="2" t="s">
        <v>562</v>
      </c>
      <c r="B117" s="7">
        <v>44591</v>
      </c>
      <c r="C117" s="39" t="s">
        <v>888</v>
      </c>
      <c r="D117" s="23" t="s">
        <v>935</v>
      </c>
      <c r="E117" t="s">
        <v>1134</v>
      </c>
      <c r="F117" s="11" t="s">
        <v>564</v>
      </c>
      <c r="G117" s="23" t="s">
        <v>993</v>
      </c>
      <c r="H117" s="23" t="s">
        <v>1051</v>
      </c>
      <c r="I117" s="2" t="s">
        <v>17</v>
      </c>
      <c r="J117" s="20">
        <v>1</v>
      </c>
      <c r="K117" s="28" t="s">
        <v>21</v>
      </c>
      <c r="L117" s="27">
        <v>84.96</v>
      </c>
      <c r="M117" s="23" t="s">
        <v>1109</v>
      </c>
      <c r="N117" s="23" t="s">
        <v>1110</v>
      </c>
      <c r="O117" s="23" t="s">
        <v>1114</v>
      </c>
    </row>
    <row r="118" spans="1:15" x14ac:dyDescent="0.3">
      <c r="A118" s="2" t="s">
        <v>565</v>
      </c>
      <c r="B118" s="7">
        <v>44536</v>
      </c>
      <c r="C118" s="39" t="s">
        <v>889</v>
      </c>
      <c r="D118" s="23" t="s">
        <v>940</v>
      </c>
      <c r="E118" t="s">
        <v>1135</v>
      </c>
      <c r="F118" s="11" t="s">
        <v>964</v>
      </c>
      <c r="G118" s="23" t="s">
        <v>1033</v>
      </c>
      <c r="H118" s="23" t="s">
        <v>339</v>
      </c>
      <c r="I118" s="2" t="s">
        <v>321</v>
      </c>
      <c r="J118" s="20">
        <v>1</v>
      </c>
      <c r="K118" s="28">
        <v>1299</v>
      </c>
      <c r="L118" s="27">
        <v>114.46</v>
      </c>
      <c r="M118" s="23" t="s">
        <v>1109</v>
      </c>
      <c r="N118" s="23" t="s">
        <v>1110</v>
      </c>
      <c r="O118" s="23" t="s">
        <v>1118</v>
      </c>
    </row>
    <row r="119" spans="1:15" x14ac:dyDescent="0.3">
      <c r="A119" s="2" t="s">
        <v>569</v>
      </c>
      <c r="B119" s="7">
        <v>44551</v>
      </c>
      <c r="C119" s="39" t="s">
        <v>890</v>
      </c>
      <c r="D119" s="23" t="s">
        <v>936</v>
      </c>
      <c r="E119" t="s">
        <v>1135</v>
      </c>
      <c r="F119" s="11" t="s">
        <v>571</v>
      </c>
      <c r="G119" s="23" t="s">
        <v>991</v>
      </c>
      <c r="H119" s="23" t="s">
        <v>1052</v>
      </c>
      <c r="I119" s="2" t="s">
        <v>321</v>
      </c>
      <c r="J119" s="20">
        <v>3</v>
      </c>
      <c r="K119" s="28">
        <v>3897</v>
      </c>
      <c r="L119" s="27">
        <v>133.34</v>
      </c>
      <c r="M119" s="23" t="s">
        <v>1108</v>
      </c>
      <c r="N119" s="23" t="s">
        <v>1110</v>
      </c>
      <c r="O119" s="23" t="s">
        <v>1118</v>
      </c>
    </row>
    <row r="120" spans="1:15" x14ac:dyDescent="0.3">
      <c r="A120" s="2" t="s">
        <v>574</v>
      </c>
      <c r="B120" s="7">
        <v>44539</v>
      </c>
      <c r="C120" s="39" t="s">
        <v>891</v>
      </c>
      <c r="D120" s="23" t="s">
        <v>938</v>
      </c>
      <c r="E120" t="s">
        <v>1135</v>
      </c>
      <c r="F120" s="11" t="s">
        <v>256</v>
      </c>
      <c r="G120" s="23" t="s">
        <v>980</v>
      </c>
      <c r="H120" s="23" t="s">
        <v>339</v>
      </c>
      <c r="I120" s="2" t="s">
        <v>28</v>
      </c>
      <c r="J120" s="20">
        <v>1</v>
      </c>
      <c r="K120" s="28">
        <v>449</v>
      </c>
      <c r="L120" s="27">
        <v>84.96</v>
      </c>
      <c r="M120" s="23" t="s">
        <v>1108</v>
      </c>
      <c r="N120" s="23" t="s">
        <v>1110</v>
      </c>
      <c r="O120" s="23" t="s">
        <v>1119</v>
      </c>
    </row>
    <row r="121" spans="1:15" x14ac:dyDescent="0.3">
      <c r="A121" s="2" t="s">
        <v>576</v>
      </c>
      <c r="B121" s="7">
        <v>44531</v>
      </c>
      <c r="C121" s="39" t="s">
        <v>892</v>
      </c>
      <c r="D121" s="23" t="s">
        <v>937</v>
      </c>
      <c r="E121" t="s">
        <v>1135</v>
      </c>
      <c r="F121" s="11" t="s">
        <v>578</v>
      </c>
      <c r="G121" s="23" t="s">
        <v>1034</v>
      </c>
      <c r="H121" s="23" t="s">
        <v>1060</v>
      </c>
      <c r="I121" s="2" t="s">
        <v>224</v>
      </c>
      <c r="J121" s="20">
        <v>1</v>
      </c>
      <c r="K121" s="28">
        <v>449</v>
      </c>
      <c r="L121" s="27">
        <v>84.96</v>
      </c>
      <c r="M121" s="23" t="s">
        <v>1108</v>
      </c>
      <c r="N121" s="23" t="s">
        <v>1110</v>
      </c>
      <c r="O121" s="23" t="s">
        <v>1114</v>
      </c>
    </row>
    <row r="122" spans="1:15" x14ac:dyDescent="0.3">
      <c r="A122" s="2" t="s">
        <v>580</v>
      </c>
      <c r="B122" s="7">
        <v>44596</v>
      </c>
      <c r="C122" s="39" t="s">
        <v>893</v>
      </c>
      <c r="D122" s="23" t="s">
        <v>941</v>
      </c>
      <c r="E122" t="s">
        <v>1133</v>
      </c>
      <c r="F122" s="11" t="s">
        <v>331</v>
      </c>
      <c r="G122" s="23" t="s">
        <v>1021</v>
      </c>
      <c r="H122" s="23" t="s">
        <v>1058</v>
      </c>
      <c r="I122" s="2" t="s">
        <v>584</v>
      </c>
      <c r="J122" s="20">
        <v>1</v>
      </c>
      <c r="K122" s="28">
        <v>1499</v>
      </c>
      <c r="L122" s="27">
        <v>114.46</v>
      </c>
      <c r="M122" s="23" t="s">
        <v>1108</v>
      </c>
      <c r="N122" s="23" t="s">
        <v>1110</v>
      </c>
      <c r="O122" s="23" t="s">
        <v>1123</v>
      </c>
    </row>
    <row r="123" spans="1:15" x14ac:dyDescent="0.3">
      <c r="A123" s="2" t="s">
        <v>587</v>
      </c>
      <c r="B123" s="7">
        <v>44551</v>
      </c>
      <c r="C123" s="39" t="s">
        <v>894</v>
      </c>
      <c r="D123" s="23" t="s">
        <v>936</v>
      </c>
      <c r="E123" t="s">
        <v>1135</v>
      </c>
      <c r="F123" s="11" t="s">
        <v>571</v>
      </c>
      <c r="G123" s="23" t="s">
        <v>1021</v>
      </c>
      <c r="H123" s="23" t="s">
        <v>1058</v>
      </c>
      <c r="I123" s="2" t="s">
        <v>321</v>
      </c>
      <c r="J123" s="20">
        <v>3</v>
      </c>
      <c r="K123" s="28">
        <v>3897</v>
      </c>
      <c r="L123" s="27">
        <v>241.9</v>
      </c>
      <c r="M123" s="23" t="s">
        <v>1108</v>
      </c>
      <c r="N123" s="23" t="s">
        <v>1110</v>
      </c>
      <c r="O123" s="23" t="s">
        <v>1118</v>
      </c>
    </row>
    <row r="124" spans="1:15" x14ac:dyDescent="0.3">
      <c r="A124" s="2" t="s">
        <v>590</v>
      </c>
      <c r="B124" s="7">
        <v>44536</v>
      </c>
      <c r="C124" s="39" t="s">
        <v>895</v>
      </c>
      <c r="D124" s="23" t="s">
        <v>940</v>
      </c>
      <c r="E124" t="s">
        <v>1135</v>
      </c>
      <c r="F124" s="11" t="s">
        <v>308</v>
      </c>
      <c r="G124" s="23" t="s">
        <v>1035</v>
      </c>
      <c r="H124" s="23" t="s">
        <v>339</v>
      </c>
      <c r="I124" s="2" t="s">
        <v>593</v>
      </c>
      <c r="J124" s="20">
        <v>1</v>
      </c>
      <c r="K124" s="28">
        <v>349</v>
      </c>
      <c r="L124" s="27">
        <v>84.96</v>
      </c>
      <c r="M124" s="23" t="s">
        <v>1108</v>
      </c>
      <c r="N124" s="23" t="s">
        <v>1110</v>
      </c>
      <c r="O124" s="23" t="s">
        <v>1114</v>
      </c>
    </row>
    <row r="125" spans="1:15" x14ac:dyDescent="0.3">
      <c r="A125" s="2" t="s">
        <v>595</v>
      </c>
      <c r="B125" s="7">
        <v>44543</v>
      </c>
      <c r="C125" s="39" t="s">
        <v>896</v>
      </c>
      <c r="D125" s="23" t="s">
        <v>940</v>
      </c>
      <c r="E125" t="s">
        <v>1135</v>
      </c>
      <c r="F125" s="11" t="s">
        <v>597</v>
      </c>
      <c r="G125" s="23" t="s">
        <v>993</v>
      </c>
      <c r="H125" s="23" t="s">
        <v>1051</v>
      </c>
      <c r="I125" s="2" t="s">
        <v>598</v>
      </c>
      <c r="J125" s="20">
        <v>1</v>
      </c>
      <c r="K125" s="28">
        <v>449</v>
      </c>
      <c r="L125" s="27">
        <v>84.96</v>
      </c>
      <c r="M125" s="23" t="s">
        <v>1108</v>
      </c>
      <c r="N125" s="23" t="s">
        <v>1110</v>
      </c>
      <c r="O125" s="23" t="s">
        <v>1114</v>
      </c>
    </row>
    <row r="126" spans="1:15" x14ac:dyDescent="0.3">
      <c r="A126" s="2" t="s">
        <v>600</v>
      </c>
      <c r="B126" s="7">
        <v>44594</v>
      </c>
      <c r="C126" s="39" t="s">
        <v>897</v>
      </c>
      <c r="D126" s="23" t="s">
        <v>937</v>
      </c>
      <c r="E126" t="s">
        <v>1133</v>
      </c>
      <c r="F126" s="11" t="s">
        <v>965</v>
      </c>
      <c r="G126" s="23" t="s">
        <v>1036</v>
      </c>
      <c r="H126" s="23" t="s">
        <v>1068</v>
      </c>
      <c r="I126" s="2" t="s">
        <v>224</v>
      </c>
      <c r="J126" s="20">
        <v>1</v>
      </c>
      <c r="K126" s="28">
        <v>449</v>
      </c>
      <c r="L126" s="27">
        <v>84.96</v>
      </c>
      <c r="M126" s="23" t="s">
        <v>1108</v>
      </c>
      <c r="N126" s="23" t="s">
        <v>1110</v>
      </c>
      <c r="O126" s="23" t="s">
        <v>1114</v>
      </c>
    </row>
    <row r="127" spans="1:15" x14ac:dyDescent="0.3">
      <c r="A127" s="2" t="s">
        <v>604</v>
      </c>
      <c r="B127" s="7">
        <v>44534</v>
      </c>
      <c r="C127" s="39" t="s">
        <v>898</v>
      </c>
      <c r="D127" s="23" t="s">
        <v>939</v>
      </c>
      <c r="E127" t="s">
        <v>1135</v>
      </c>
      <c r="F127" s="11" t="s">
        <v>606</v>
      </c>
      <c r="G127" s="23" t="s">
        <v>998</v>
      </c>
      <c r="H127" s="23" t="s">
        <v>736</v>
      </c>
      <c r="I127" s="2" t="s">
        <v>289</v>
      </c>
      <c r="J127" s="20">
        <v>1</v>
      </c>
      <c r="K127" s="28">
        <v>399</v>
      </c>
      <c r="L127" s="27">
        <v>84.96</v>
      </c>
      <c r="M127" s="23" t="s">
        <v>1108</v>
      </c>
      <c r="N127" s="23" t="s">
        <v>1110</v>
      </c>
      <c r="O127" s="23" t="s">
        <v>1121</v>
      </c>
    </row>
    <row r="128" spans="1:15" x14ac:dyDescent="0.3">
      <c r="A128" s="2" t="s">
        <v>608</v>
      </c>
      <c r="B128" s="7">
        <v>44559</v>
      </c>
      <c r="C128" s="39" t="s">
        <v>896</v>
      </c>
      <c r="D128" s="23" t="s">
        <v>937</v>
      </c>
      <c r="E128" t="s">
        <v>1135</v>
      </c>
      <c r="F128" s="11" t="s">
        <v>610</v>
      </c>
      <c r="G128" s="23" t="s">
        <v>984</v>
      </c>
      <c r="H128" s="23" t="s">
        <v>1054</v>
      </c>
      <c r="I128" s="2" t="s">
        <v>593</v>
      </c>
      <c r="J128" s="20">
        <v>1</v>
      </c>
      <c r="K128" s="28">
        <v>349</v>
      </c>
      <c r="L128" s="27">
        <v>84.96</v>
      </c>
      <c r="M128" s="23" t="s">
        <v>1108</v>
      </c>
      <c r="N128" s="23" t="s">
        <v>1110</v>
      </c>
      <c r="O128" s="23" t="s">
        <v>1114</v>
      </c>
    </row>
    <row r="129" spans="1:15" x14ac:dyDescent="0.3">
      <c r="A129" s="2" t="s">
        <v>611</v>
      </c>
      <c r="B129" s="7">
        <v>44572</v>
      </c>
      <c r="C129" s="39" t="s">
        <v>899</v>
      </c>
      <c r="D129" s="23" t="s">
        <v>936</v>
      </c>
      <c r="E129" t="s">
        <v>1134</v>
      </c>
      <c r="F129" s="11" t="s">
        <v>107</v>
      </c>
      <c r="G129" s="23" t="s">
        <v>999</v>
      </c>
      <c r="H129" s="23" t="s">
        <v>1059</v>
      </c>
      <c r="I129" s="2" t="s">
        <v>103</v>
      </c>
      <c r="J129" s="20">
        <v>1</v>
      </c>
      <c r="K129" s="28">
        <v>449</v>
      </c>
      <c r="L129" s="27">
        <v>84.96</v>
      </c>
      <c r="M129" s="23" t="s">
        <v>1108</v>
      </c>
      <c r="N129" s="23" t="s">
        <v>1110</v>
      </c>
      <c r="O129" s="23" t="s">
        <v>1114</v>
      </c>
    </row>
    <row r="130" spans="1:15" x14ac:dyDescent="0.3">
      <c r="A130" s="2" t="s">
        <v>613</v>
      </c>
      <c r="B130" s="7">
        <v>44536</v>
      </c>
      <c r="C130" s="39" t="s">
        <v>900</v>
      </c>
      <c r="D130" s="23" t="s">
        <v>940</v>
      </c>
      <c r="E130" t="s">
        <v>1135</v>
      </c>
      <c r="F130" s="11" t="s">
        <v>615</v>
      </c>
      <c r="G130" s="23" t="s">
        <v>984</v>
      </c>
      <c r="H130" s="23" t="s">
        <v>1054</v>
      </c>
      <c r="I130" s="2" t="s">
        <v>616</v>
      </c>
      <c r="J130" s="20">
        <v>1</v>
      </c>
      <c r="K130" s="28">
        <v>899</v>
      </c>
      <c r="L130" s="27">
        <v>114.46</v>
      </c>
      <c r="M130" s="23" t="s">
        <v>1108</v>
      </c>
      <c r="N130" s="23" t="s">
        <v>1110</v>
      </c>
      <c r="O130" s="23" t="s">
        <v>1116</v>
      </c>
    </row>
    <row r="131" spans="1:15" x14ac:dyDescent="0.3">
      <c r="A131" s="2" t="s">
        <v>619</v>
      </c>
      <c r="B131" s="7">
        <v>44581</v>
      </c>
      <c r="C131" s="39" t="s">
        <v>901</v>
      </c>
      <c r="D131" s="23" t="s">
        <v>938</v>
      </c>
      <c r="E131" t="s">
        <v>1134</v>
      </c>
      <c r="F131" s="11" t="s">
        <v>950</v>
      </c>
      <c r="G131" s="23" t="s">
        <v>1003</v>
      </c>
      <c r="H131" s="23" t="s">
        <v>1058</v>
      </c>
      <c r="I131" s="2" t="s">
        <v>78</v>
      </c>
      <c r="J131" s="20">
        <v>1</v>
      </c>
      <c r="K131" s="28">
        <v>475</v>
      </c>
      <c r="L131" s="27">
        <v>84.96</v>
      </c>
      <c r="M131" s="23" t="s">
        <v>1108</v>
      </c>
      <c r="N131" s="23" t="s">
        <v>1110</v>
      </c>
      <c r="O131" s="23" t="s">
        <v>1120</v>
      </c>
    </row>
    <row r="132" spans="1:15" x14ac:dyDescent="0.3">
      <c r="A132" s="2" t="s">
        <v>622</v>
      </c>
      <c r="B132" s="7">
        <v>44534</v>
      </c>
      <c r="C132" s="39" t="s">
        <v>902</v>
      </c>
      <c r="D132" s="23" t="s">
        <v>939</v>
      </c>
      <c r="E132" t="s">
        <v>1135</v>
      </c>
      <c r="F132" s="11" t="s">
        <v>960</v>
      </c>
      <c r="G132" s="23" t="s">
        <v>984</v>
      </c>
      <c r="H132" s="23" t="s">
        <v>1054</v>
      </c>
      <c r="I132" s="2" t="s">
        <v>433</v>
      </c>
      <c r="J132" s="20">
        <v>1</v>
      </c>
      <c r="K132" s="28">
        <v>549</v>
      </c>
      <c r="L132" s="27">
        <v>84.96</v>
      </c>
      <c r="M132" s="23" t="s">
        <v>1108</v>
      </c>
      <c r="N132" s="23" t="s">
        <v>1110</v>
      </c>
      <c r="O132" s="23" t="s">
        <v>1114</v>
      </c>
    </row>
    <row r="133" spans="1:15" x14ac:dyDescent="0.3">
      <c r="A133" s="2" t="s">
        <v>624</v>
      </c>
      <c r="B133" s="7">
        <v>44538</v>
      </c>
      <c r="C133" s="39" t="s">
        <v>903</v>
      </c>
      <c r="D133" s="23" t="s">
        <v>937</v>
      </c>
      <c r="E133" t="s">
        <v>1135</v>
      </c>
      <c r="F133" s="11" t="s">
        <v>155</v>
      </c>
      <c r="G133" s="23" t="s">
        <v>996</v>
      </c>
      <c r="H133" s="23" t="s">
        <v>1056</v>
      </c>
      <c r="I133" s="2" t="s">
        <v>28</v>
      </c>
      <c r="J133" s="20">
        <v>1</v>
      </c>
      <c r="K133" s="28">
        <v>449</v>
      </c>
      <c r="L133" s="27">
        <v>84.96</v>
      </c>
      <c r="M133" s="23" t="s">
        <v>1108</v>
      </c>
      <c r="N133" s="23" t="s">
        <v>1110</v>
      </c>
      <c r="O133" s="23" t="s">
        <v>1119</v>
      </c>
    </row>
    <row r="134" spans="1:15" x14ac:dyDescent="0.3">
      <c r="A134" s="2" t="s">
        <v>626</v>
      </c>
      <c r="B134" s="7">
        <v>44531</v>
      </c>
      <c r="C134" s="39" t="s">
        <v>904</v>
      </c>
      <c r="D134" s="23" t="s">
        <v>937</v>
      </c>
      <c r="E134" t="s">
        <v>1135</v>
      </c>
      <c r="F134" s="11" t="s">
        <v>966</v>
      </c>
      <c r="G134" s="23" t="s">
        <v>1021</v>
      </c>
      <c r="H134" s="23" t="s">
        <v>1058</v>
      </c>
      <c r="I134" s="2" t="s">
        <v>146</v>
      </c>
      <c r="J134" s="20">
        <v>1</v>
      </c>
      <c r="K134" s="28">
        <v>399</v>
      </c>
      <c r="L134" s="27">
        <v>84.96</v>
      </c>
      <c r="M134" s="23" t="s">
        <v>1108</v>
      </c>
      <c r="N134" s="23" t="s">
        <v>1110</v>
      </c>
      <c r="O134" s="23" t="s">
        <v>1121</v>
      </c>
    </row>
    <row r="135" spans="1:15" x14ac:dyDescent="0.3">
      <c r="A135" s="2" t="s">
        <v>629</v>
      </c>
      <c r="B135" s="7">
        <v>44606</v>
      </c>
      <c r="C135" s="39" t="s">
        <v>892</v>
      </c>
      <c r="D135" s="23" t="s">
        <v>940</v>
      </c>
      <c r="E135" t="s">
        <v>1133</v>
      </c>
      <c r="F135" s="11" t="s">
        <v>631</v>
      </c>
      <c r="G135" s="23" t="s">
        <v>1037</v>
      </c>
      <c r="H135" s="23" t="s">
        <v>1053</v>
      </c>
      <c r="I135" s="2" t="s">
        <v>633</v>
      </c>
      <c r="J135" s="20">
        <v>1</v>
      </c>
      <c r="K135" s="28">
        <v>449</v>
      </c>
      <c r="L135" s="27">
        <v>84.96</v>
      </c>
      <c r="M135" s="23" t="s">
        <v>1108</v>
      </c>
      <c r="N135" s="23" t="s">
        <v>1110</v>
      </c>
      <c r="O135" s="23" t="s">
        <v>1114</v>
      </c>
    </row>
    <row r="136" spans="1:15" x14ac:dyDescent="0.3">
      <c r="A136" s="2" t="s">
        <v>634</v>
      </c>
      <c r="B136" s="7">
        <v>44586</v>
      </c>
      <c r="C136" s="39" t="s">
        <v>858</v>
      </c>
      <c r="D136" s="23" t="s">
        <v>936</v>
      </c>
      <c r="E136" t="s">
        <v>1134</v>
      </c>
      <c r="F136" s="11" t="s">
        <v>508</v>
      </c>
      <c r="G136" s="23" t="s">
        <v>1028</v>
      </c>
      <c r="H136" s="23" t="s">
        <v>1065</v>
      </c>
      <c r="I136" s="2" t="s">
        <v>28</v>
      </c>
      <c r="J136" s="20">
        <v>1</v>
      </c>
      <c r="K136" s="28" t="s">
        <v>21</v>
      </c>
      <c r="L136" s="27">
        <v>84.96</v>
      </c>
      <c r="M136" s="23" t="s">
        <v>1108</v>
      </c>
      <c r="N136" s="23" t="s">
        <v>1111</v>
      </c>
      <c r="O136" s="23" t="s">
        <v>1119</v>
      </c>
    </row>
    <row r="137" spans="1:15" x14ac:dyDescent="0.3">
      <c r="A137" s="2" t="s">
        <v>636</v>
      </c>
      <c r="B137" s="7">
        <v>44540</v>
      </c>
      <c r="C137" s="39" t="s">
        <v>905</v>
      </c>
      <c r="D137" s="23" t="s">
        <v>941</v>
      </c>
      <c r="E137" t="s">
        <v>1135</v>
      </c>
      <c r="F137" s="11" t="s">
        <v>638</v>
      </c>
      <c r="G137" s="23" t="s">
        <v>980</v>
      </c>
      <c r="H137" s="23" t="s">
        <v>339</v>
      </c>
      <c r="I137" s="2" t="s">
        <v>28</v>
      </c>
      <c r="J137" s="20">
        <v>1</v>
      </c>
      <c r="K137" s="28">
        <v>449</v>
      </c>
      <c r="L137" s="27">
        <v>84.96</v>
      </c>
      <c r="M137" s="23" t="s">
        <v>1109</v>
      </c>
      <c r="N137" s="23" t="s">
        <v>1110</v>
      </c>
      <c r="O137" s="23" t="s">
        <v>1119</v>
      </c>
    </row>
    <row r="138" spans="1:15" x14ac:dyDescent="0.3">
      <c r="A138" s="2" t="s">
        <v>639</v>
      </c>
      <c r="B138" s="7">
        <v>44540</v>
      </c>
      <c r="C138" s="39" t="s">
        <v>820</v>
      </c>
      <c r="D138" s="23" t="s">
        <v>941</v>
      </c>
      <c r="E138" t="s">
        <v>1135</v>
      </c>
      <c r="F138" s="11" t="s">
        <v>641</v>
      </c>
      <c r="G138" s="23" t="s">
        <v>989</v>
      </c>
      <c r="H138" s="23" t="s">
        <v>339</v>
      </c>
      <c r="I138" s="2" t="s">
        <v>28</v>
      </c>
      <c r="J138" s="20">
        <v>4</v>
      </c>
      <c r="K138" s="28">
        <v>1796</v>
      </c>
      <c r="L138" s="27">
        <v>84.96</v>
      </c>
      <c r="M138" s="23" t="s">
        <v>1108</v>
      </c>
      <c r="N138" s="23" t="s">
        <v>1110</v>
      </c>
      <c r="O138" s="23" t="s">
        <v>1119</v>
      </c>
    </row>
    <row r="139" spans="1:15" x14ac:dyDescent="0.3">
      <c r="A139" s="2" t="s">
        <v>643</v>
      </c>
      <c r="B139" s="7">
        <v>44563</v>
      </c>
      <c r="C139" s="39" t="s">
        <v>906</v>
      </c>
      <c r="D139" s="23" t="s">
        <v>935</v>
      </c>
      <c r="E139" t="s">
        <v>1134</v>
      </c>
      <c r="F139" s="11" t="s">
        <v>967</v>
      </c>
      <c r="G139" s="23" t="s">
        <v>1031</v>
      </c>
      <c r="H139" s="23" t="s">
        <v>1051</v>
      </c>
      <c r="I139" s="2" t="s">
        <v>224</v>
      </c>
      <c r="J139" s="20">
        <v>1</v>
      </c>
      <c r="K139" s="28">
        <v>449</v>
      </c>
      <c r="L139" s="27">
        <v>84.96</v>
      </c>
      <c r="M139" s="23" t="s">
        <v>1108</v>
      </c>
      <c r="N139" s="23" t="s">
        <v>1110</v>
      </c>
      <c r="O139" s="23" t="s">
        <v>1114</v>
      </c>
    </row>
    <row r="140" spans="1:15" x14ac:dyDescent="0.3">
      <c r="A140" s="2" t="s">
        <v>646</v>
      </c>
      <c r="B140" s="7">
        <v>44530</v>
      </c>
      <c r="C140" s="39" t="s">
        <v>907</v>
      </c>
      <c r="D140" s="23" t="s">
        <v>936</v>
      </c>
      <c r="E140" t="s">
        <v>1129</v>
      </c>
      <c r="F140" s="11" t="s">
        <v>648</v>
      </c>
      <c r="G140" s="23" t="s">
        <v>984</v>
      </c>
      <c r="H140" s="23" t="s">
        <v>1054</v>
      </c>
      <c r="I140" s="2" t="s">
        <v>633</v>
      </c>
      <c r="J140" s="20">
        <v>1</v>
      </c>
      <c r="K140" s="28">
        <v>449</v>
      </c>
      <c r="L140" s="27">
        <v>84.96</v>
      </c>
      <c r="M140" s="23" t="s">
        <v>1108</v>
      </c>
      <c r="N140" s="23" t="s">
        <v>1110</v>
      </c>
      <c r="O140" s="23" t="s">
        <v>1114</v>
      </c>
    </row>
    <row r="141" spans="1:15" x14ac:dyDescent="0.3">
      <c r="A141" s="2" t="s">
        <v>649</v>
      </c>
      <c r="B141" s="7">
        <v>44534</v>
      </c>
      <c r="C141" s="39" t="s">
        <v>908</v>
      </c>
      <c r="D141" s="23" t="s">
        <v>939</v>
      </c>
      <c r="E141" t="s">
        <v>1135</v>
      </c>
      <c r="F141" s="11" t="s">
        <v>559</v>
      </c>
      <c r="G141" s="23" t="s">
        <v>991</v>
      </c>
      <c r="H141" s="23" t="s">
        <v>1052</v>
      </c>
      <c r="I141" s="2" t="s">
        <v>433</v>
      </c>
      <c r="J141" s="20">
        <v>1</v>
      </c>
      <c r="K141" s="28">
        <v>549</v>
      </c>
      <c r="L141" s="27">
        <v>47.2</v>
      </c>
      <c r="M141" s="23" t="s">
        <v>1108</v>
      </c>
      <c r="N141" s="23" t="s">
        <v>1110</v>
      </c>
      <c r="O141" s="23" t="s">
        <v>1114</v>
      </c>
    </row>
    <row r="142" spans="1:15" x14ac:dyDescent="0.3">
      <c r="A142" s="2" t="s">
        <v>651</v>
      </c>
      <c r="B142" s="7">
        <v>44561</v>
      </c>
      <c r="C142" s="39" t="s">
        <v>871</v>
      </c>
      <c r="D142" s="23" t="s">
        <v>941</v>
      </c>
      <c r="E142" t="s">
        <v>1135</v>
      </c>
      <c r="F142" s="11" t="s">
        <v>968</v>
      </c>
      <c r="G142" s="23" t="s">
        <v>991</v>
      </c>
      <c r="H142" s="23" t="s">
        <v>1052</v>
      </c>
      <c r="I142" s="2" t="s">
        <v>289</v>
      </c>
      <c r="J142" s="20">
        <v>1</v>
      </c>
      <c r="K142" s="28">
        <v>399</v>
      </c>
      <c r="L142" s="27">
        <v>47.2</v>
      </c>
      <c r="M142" s="23" t="s">
        <v>1108</v>
      </c>
      <c r="N142" s="23" t="s">
        <v>1110</v>
      </c>
      <c r="O142" s="23" t="s">
        <v>1121</v>
      </c>
    </row>
    <row r="143" spans="1:15" x14ac:dyDescent="0.3">
      <c r="A143" s="2" t="s">
        <v>654</v>
      </c>
      <c r="B143" s="7">
        <v>44591</v>
      </c>
      <c r="C143" s="39" t="s">
        <v>883</v>
      </c>
      <c r="D143" s="23" t="s">
        <v>935</v>
      </c>
      <c r="E143" t="s">
        <v>1134</v>
      </c>
      <c r="F143" s="11" t="s">
        <v>969</v>
      </c>
      <c r="G143" s="23" t="s">
        <v>1038</v>
      </c>
      <c r="H143" s="23" t="s">
        <v>1062</v>
      </c>
      <c r="I143" s="2" t="s">
        <v>295</v>
      </c>
      <c r="J143" s="20">
        <v>1</v>
      </c>
      <c r="K143" s="28">
        <v>349</v>
      </c>
      <c r="L143" s="27">
        <v>84.96</v>
      </c>
      <c r="M143" s="23" t="s">
        <v>1108</v>
      </c>
      <c r="N143" s="23" t="s">
        <v>1110</v>
      </c>
      <c r="O143" s="23" t="s">
        <v>1114</v>
      </c>
    </row>
    <row r="144" spans="1:15" x14ac:dyDescent="0.3">
      <c r="A144" s="2" t="s">
        <v>659</v>
      </c>
      <c r="B144" s="7">
        <v>44559</v>
      </c>
      <c r="C144" s="39" t="s">
        <v>909</v>
      </c>
      <c r="D144" s="23" t="s">
        <v>937</v>
      </c>
      <c r="E144" t="s">
        <v>1135</v>
      </c>
      <c r="F144" s="11" t="s">
        <v>383</v>
      </c>
      <c r="G144" s="23" t="s">
        <v>1039</v>
      </c>
      <c r="H144" s="23" t="s">
        <v>1069</v>
      </c>
      <c r="I144" s="2" t="s">
        <v>28</v>
      </c>
      <c r="J144" s="20">
        <v>1</v>
      </c>
      <c r="K144" s="28">
        <v>449</v>
      </c>
      <c r="L144" s="27">
        <v>84.96</v>
      </c>
      <c r="M144" s="23" t="s">
        <v>1109</v>
      </c>
      <c r="N144" s="23" t="s">
        <v>1110</v>
      </c>
      <c r="O144" s="23" t="s">
        <v>1119</v>
      </c>
    </row>
    <row r="145" spans="1:15" x14ac:dyDescent="0.3">
      <c r="A145" s="2" t="s">
        <v>663</v>
      </c>
      <c r="B145" s="7">
        <v>44577</v>
      </c>
      <c r="C145" s="39" t="s">
        <v>910</v>
      </c>
      <c r="D145" s="23" t="s">
        <v>935</v>
      </c>
      <c r="E145" t="s">
        <v>1134</v>
      </c>
      <c r="F145" s="11" t="s">
        <v>970</v>
      </c>
      <c r="G145" s="23" t="s">
        <v>991</v>
      </c>
      <c r="H145" s="23" t="s">
        <v>1052</v>
      </c>
      <c r="I145" s="2" t="s">
        <v>78</v>
      </c>
      <c r="J145" s="20">
        <v>1</v>
      </c>
      <c r="K145" s="28">
        <v>475</v>
      </c>
      <c r="L145" s="27">
        <v>47.2</v>
      </c>
      <c r="M145" s="23" t="s">
        <v>1108</v>
      </c>
      <c r="N145" s="23" t="s">
        <v>1110</v>
      </c>
      <c r="O145" s="23" t="s">
        <v>1120</v>
      </c>
    </row>
    <row r="146" spans="1:15" x14ac:dyDescent="0.3">
      <c r="A146" s="2" t="s">
        <v>666</v>
      </c>
      <c r="B146" s="7">
        <v>44615</v>
      </c>
      <c r="C146" s="39" t="s">
        <v>911</v>
      </c>
      <c r="D146" s="23" t="s">
        <v>937</v>
      </c>
      <c r="E146" t="s">
        <v>1133</v>
      </c>
      <c r="F146" s="11" t="s">
        <v>668</v>
      </c>
      <c r="G146" s="23" t="s">
        <v>1040</v>
      </c>
      <c r="H146" s="23" t="s">
        <v>1053</v>
      </c>
      <c r="I146" s="2" t="s">
        <v>224</v>
      </c>
      <c r="J146" s="20">
        <v>1</v>
      </c>
      <c r="K146" s="28">
        <v>449</v>
      </c>
      <c r="L146" s="27">
        <v>84.96</v>
      </c>
      <c r="M146" s="23" t="s">
        <v>1109</v>
      </c>
      <c r="N146" s="23" t="s">
        <v>1110</v>
      </c>
      <c r="O146" s="23" t="s">
        <v>1114</v>
      </c>
    </row>
    <row r="147" spans="1:15" x14ac:dyDescent="0.3">
      <c r="A147" s="2" t="s">
        <v>670</v>
      </c>
      <c r="B147" s="7">
        <v>44601</v>
      </c>
      <c r="C147" s="39" t="s">
        <v>912</v>
      </c>
      <c r="D147" s="23" t="s">
        <v>937</v>
      </c>
      <c r="E147" t="s">
        <v>1133</v>
      </c>
      <c r="F147" s="11" t="s">
        <v>672</v>
      </c>
      <c r="G147" s="23" t="s">
        <v>980</v>
      </c>
      <c r="H147" s="23" t="s">
        <v>339</v>
      </c>
      <c r="I147" s="2" t="s">
        <v>295</v>
      </c>
      <c r="J147" s="20">
        <v>1</v>
      </c>
      <c r="K147" s="28">
        <v>349</v>
      </c>
      <c r="L147" s="27">
        <v>84.96</v>
      </c>
      <c r="M147" s="23" t="s">
        <v>1108</v>
      </c>
      <c r="N147" s="23" t="s">
        <v>1110</v>
      </c>
      <c r="O147" s="23" t="s">
        <v>1114</v>
      </c>
    </row>
    <row r="148" spans="1:15" x14ac:dyDescent="0.3">
      <c r="A148" s="2" t="s">
        <v>673</v>
      </c>
      <c r="B148" s="7">
        <v>44574</v>
      </c>
      <c r="C148" s="39" t="s">
        <v>913</v>
      </c>
      <c r="D148" s="23" t="s">
        <v>938</v>
      </c>
      <c r="E148" t="s">
        <v>1134</v>
      </c>
      <c r="F148" s="11" t="s">
        <v>971</v>
      </c>
      <c r="G148" s="23" t="s">
        <v>1041</v>
      </c>
      <c r="H148" s="23" t="s">
        <v>1053</v>
      </c>
      <c r="I148" s="2" t="s">
        <v>131</v>
      </c>
      <c r="J148" s="20">
        <v>1</v>
      </c>
      <c r="K148" s="28">
        <v>449</v>
      </c>
      <c r="L148" s="27">
        <v>84.96</v>
      </c>
      <c r="M148" s="23" t="s">
        <v>1108</v>
      </c>
      <c r="N148" s="23" t="s">
        <v>1110</v>
      </c>
      <c r="O148" s="23" t="s">
        <v>1114</v>
      </c>
    </row>
    <row r="149" spans="1:15" x14ac:dyDescent="0.3">
      <c r="A149" s="2" t="s">
        <v>677</v>
      </c>
      <c r="B149" s="7">
        <v>44550</v>
      </c>
      <c r="C149" s="39" t="s">
        <v>914</v>
      </c>
      <c r="D149" s="23" t="s">
        <v>940</v>
      </c>
      <c r="E149" t="s">
        <v>1135</v>
      </c>
      <c r="F149" s="11" t="s">
        <v>679</v>
      </c>
      <c r="G149" s="23" t="s">
        <v>1042</v>
      </c>
      <c r="H149" s="23" t="s">
        <v>1052</v>
      </c>
      <c r="I149" s="2" t="s">
        <v>78</v>
      </c>
      <c r="J149" s="20">
        <v>1</v>
      </c>
      <c r="K149" s="28">
        <v>475</v>
      </c>
      <c r="L149" s="27">
        <v>60.18</v>
      </c>
      <c r="M149" s="23" t="s">
        <v>1108</v>
      </c>
      <c r="N149" s="23" t="s">
        <v>1110</v>
      </c>
      <c r="O149" s="23" t="s">
        <v>1120</v>
      </c>
    </row>
    <row r="150" spans="1:15" x14ac:dyDescent="0.3">
      <c r="A150" s="2" t="s">
        <v>680</v>
      </c>
      <c r="B150" s="7">
        <v>44570</v>
      </c>
      <c r="C150" s="39" t="s">
        <v>915</v>
      </c>
      <c r="D150" s="23" t="s">
        <v>935</v>
      </c>
      <c r="E150" t="s">
        <v>1134</v>
      </c>
      <c r="F150" s="11" t="s">
        <v>331</v>
      </c>
      <c r="G150" s="23" t="s">
        <v>1021</v>
      </c>
      <c r="H150" s="23" t="s">
        <v>1058</v>
      </c>
      <c r="I150" s="2" t="s">
        <v>426</v>
      </c>
      <c r="J150" s="20">
        <v>1</v>
      </c>
      <c r="K150" s="28">
        <v>399</v>
      </c>
      <c r="L150" s="27">
        <v>84.96</v>
      </c>
      <c r="M150" s="23" t="s">
        <v>1108</v>
      </c>
      <c r="N150" s="23" t="s">
        <v>1110</v>
      </c>
      <c r="O150" s="23" t="s">
        <v>1121</v>
      </c>
    </row>
    <row r="151" spans="1:15" x14ac:dyDescent="0.3">
      <c r="A151" s="2" t="s">
        <v>682</v>
      </c>
      <c r="B151" s="7">
        <v>44539</v>
      </c>
      <c r="C151" s="39" t="s">
        <v>916</v>
      </c>
      <c r="D151" s="23" t="s">
        <v>938</v>
      </c>
      <c r="E151" t="s">
        <v>1135</v>
      </c>
      <c r="F151" s="11" t="s">
        <v>684</v>
      </c>
      <c r="G151" s="23" t="s">
        <v>1043</v>
      </c>
      <c r="H151" s="23" t="s">
        <v>1058</v>
      </c>
      <c r="I151" s="2" t="s">
        <v>28</v>
      </c>
      <c r="J151" s="20">
        <v>1</v>
      </c>
      <c r="K151" s="28">
        <v>449</v>
      </c>
      <c r="L151" s="27">
        <v>84.96</v>
      </c>
      <c r="M151" s="23" t="s">
        <v>1109</v>
      </c>
      <c r="N151" s="23" t="s">
        <v>1110</v>
      </c>
      <c r="O151" s="23" t="s">
        <v>1119</v>
      </c>
    </row>
    <row r="152" spans="1:15" x14ac:dyDescent="0.3">
      <c r="A152" s="2" t="s">
        <v>686</v>
      </c>
      <c r="B152" s="7">
        <v>44549</v>
      </c>
      <c r="C152" s="39" t="s">
        <v>917</v>
      </c>
      <c r="D152" s="23" t="s">
        <v>935</v>
      </c>
      <c r="E152" t="s">
        <v>1135</v>
      </c>
      <c r="F152" s="11" t="s">
        <v>972</v>
      </c>
      <c r="G152" s="23" t="s">
        <v>984</v>
      </c>
      <c r="H152" s="23" t="s">
        <v>1054</v>
      </c>
      <c r="I152" s="2" t="s">
        <v>28</v>
      </c>
      <c r="J152" s="20">
        <v>1</v>
      </c>
      <c r="K152" s="28" t="s">
        <v>21</v>
      </c>
      <c r="L152" s="27">
        <v>84.96</v>
      </c>
      <c r="M152" s="23" t="s">
        <v>1108</v>
      </c>
      <c r="N152" s="23" t="s">
        <v>1111</v>
      </c>
      <c r="O152" s="23" t="s">
        <v>1119</v>
      </c>
    </row>
    <row r="153" spans="1:15" x14ac:dyDescent="0.3">
      <c r="A153" s="2" t="s">
        <v>689</v>
      </c>
      <c r="B153" s="7">
        <v>44613</v>
      </c>
      <c r="C153" s="39" t="s">
        <v>852</v>
      </c>
      <c r="D153" s="23" t="s">
        <v>940</v>
      </c>
      <c r="E153" t="s">
        <v>1133</v>
      </c>
      <c r="F153" s="11" t="s">
        <v>691</v>
      </c>
      <c r="G153" s="23" t="s">
        <v>1044</v>
      </c>
      <c r="H153" s="23" t="s">
        <v>1053</v>
      </c>
      <c r="I153" s="2" t="s">
        <v>593</v>
      </c>
      <c r="J153" s="20">
        <v>1</v>
      </c>
      <c r="K153" s="28">
        <v>349</v>
      </c>
      <c r="L153" s="27">
        <v>60.18</v>
      </c>
      <c r="M153" s="23" t="s">
        <v>1108</v>
      </c>
      <c r="N153" s="23" t="s">
        <v>1110</v>
      </c>
      <c r="O153" s="23" t="s">
        <v>1114</v>
      </c>
    </row>
    <row r="154" spans="1:15" x14ac:dyDescent="0.3">
      <c r="A154" s="2" t="s">
        <v>693</v>
      </c>
      <c r="B154" s="7">
        <v>44545</v>
      </c>
      <c r="C154" s="39" t="s">
        <v>918</v>
      </c>
      <c r="D154" s="23" t="s">
        <v>937</v>
      </c>
      <c r="E154" t="s">
        <v>1135</v>
      </c>
      <c r="F154" s="11" t="s">
        <v>973</v>
      </c>
      <c r="G154" s="23" t="s">
        <v>984</v>
      </c>
      <c r="H154" s="23" t="s">
        <v>1054</v>
      </c>
      <c r="I154" s="2" t="s">
        <v>696</v>
      </c>
      <c r="J154" s="20">
        <v>1</v>
      </c>
      <c r="K154" s="28">
        <v>549</v>
      </c>
      <c r="L154" s="27">
        <v>84.96</v>
      </c>
      <c r="M154" s="23" t="s">
        <v>1108</v>
      </c>
      <c r="N154" s="23" t="s">
        <v>1110</v>
      </c>
      <c r="O154" s="23" t="s">
        <v>1114</v>
      </c>
    </row>
    <row r="155" spans="1:15" x14ac:dyDescent="0.3">
      <c r="A155" s="2" t="s">
        <v>698</v>
      </c>
      <c r="B155" s="7">
        <v>44593</v>
      </c>
      <c r="C155" s="39" t="s">
        <v>919</v>
      </c>
      <c r="D155" s="23" t="s">
        <v>936</v>
      </c>
      <c r="E155" t="s">
        <v>1133</v>
      </c>
      <c r="F155" s="11" t="s">
        <v>700</v>
      </c>
      <c r="G155" s="23" t="s">
        <v>1021</v>
      </c>
      <c r="H155" s="23" t="s">
        <v>1058</v>
      </c>
      <c r="I155" s="2" t="s">
        <v>224</v>
      </c>
      <c r="J155" s="20">
        <v>1</v>
      </c>
      <c r="K155" s="28">
        <v>449</v>
      </c>
      <c r="L155" s="27">
        <v>84.96</v>
      </c>
      <c r="M155" s="23" t="s">
        <v>1108</v>
      </c>
      <c r="N155" s="23" t="s">
        <v>1110</v>
      </c>
      <c r="O155" s="23" t="s">
        <v>1114</v>
      </c>
    </row>
    <row r="156" spans="1:15" x14ac:dyDescent="0.3">
      <c r="A156" s="2" t="s">
        <v>701</v>
      </c>
      <c r="B156" s="7">
        <v>44570</v>
      </c>
      <c r="C156" s="39" t="s">
        <v>920</v>
      </c>
      <c r="D156" s="23" t="s">
        <v>935</v>
      </c>
      <c r="E156" t="s">
        <v>1134</v>
      </c>
      <c r="F156" s="11" t="s">
        <v>974</v>
      </c>
      <c r="G156" s="23" t="s">
        <v>999</v>
      </c>
      <c r="H156" s="23" t="s">
        <v>1059</v>
      </c>
      <c r="I156" s="2" t="s">
        <v>403</v>
      </c>
      <c r="J156" s="20">
        <v>1</v>
      </c>
      <c r="K156" s="28">
        <v>449</v>
      </c>
      <c r="L156" s="27">
        <v>84.96</v>
      </c>
      <c r="M156" s="23" t="s">
        <v>1108</v>
      </c>
      <c r="N156" s="23" t="s">
        <v>1110</v>
      </c>
      <c r="O156" s="23" t="s">
        <v>1114</v>
      </c>
    </row>
    <row r="157" spans="1:15" x14ac:dyDescent="0.3">
      <c r="A157" s="2" t="s">
        <v>704</v>
      </c>
      <c r="B157" s="7">
        <v>44542</v>
      </c>
      <c r="C157" s="39" t="s">
        <v>921</v>
      </c>
      <c r="D157" s="23" t="s">
        <v>935</v>
      </c>
      <c r="E157" t="s">
        <v>1135</v>
      </c>
      <c r="F157" s="11" t="s">
        <v>706</v>
      </c>
      <c r="G157" s="23" t="s">
        <v>977</v>
      </c>
      <c r="H157" s="23" t="s">
        <v>977</v>
      </c>
      <c r="I157" s="2" t="s">
        <v>28</v>
      </c>
      <c r="J157" s="20">
        <v>1</v>
      </c>
      <c r="K157" s="28" t="s">
        <v>21</v>
      </c>
      <c r="L157" s="27">
        <v>84.96</v>
      </c>
      <c r="M157" s="23" t="s">
        <v>1108</v>
      </c>
      <c r="N157" s="23" t="s">
        <v>1110</v>
      </c>
      <c r="O157" s="23" t="s">
        <v>1119</v>
      </c>
    </row>
    <row r="158" spans="1:15" x14ac:dyDescent="0.3">
      <c r="A158" s="2" t="s">
        <v>707</v>
      </c>
      <c r="B158" s="7">
        <v>44563</v>
      </c>
      <c r="C158" s="39" t="s">
        <v>922</v>
      </c>
      <c r="D158" s="23" t="s">
        <v>935</v>
      </c>
      <c r="E158" t="s">
        <v>1134</v>
      </c>
      <c r="F158" s="11" t="s">
        <v>709</v>
      </c>
      <c r="G158" s="23" t="s">
        <v>998</v>
      </c>
      <c r="H158" s="23" t="s">
        <v>736</v>
      </c>
      <c r="I158" s="2" t="s">
        <v>184</v>
      </c>
      <c r="J158" s="20">
        <v>1</v>
      </c>
      <c r="K158" s="28">
        <v>475</v>
      </c>
      <c r="L158" s="27">
        <v>84.96</v>
      </c>
      <c r="M158" s="23" t="s">
        <v>1108</v>
      </c>
      <c r="N158" s="23" t="s">
        <v>1110</v>
      </c>
      <c r="O158" s="23" t="s">
        <v>1120</v>
      </c>
    </row>
    <row r="159" spans="1:15" x14ac:dyDescent="0.3">
      <c r="A159" s="2" t="s">
        <v>711</v>
      </c>
      <c r="B159" s="7">
        <v>44538</v>
      </c>
      <c r="C159" s="39" t="s">
        <v>923</v>
      </c>
      <c r="D159" s="23" t="s">
        <v>937</v>
      </c>
      <c r="E159" t="s">
        <v>1135</v>
      </c>
      <c r="F159" s="11" t="s">
        <v>713</v>
      </c>
      <c r="G159" s="23" t="s">
        <v>1045</v>
      </c>
      <c r="H159" s="23" t="s">
        <v>1062</v>
      </c>
      <c r="I159" s="2" t="s">
        <v>70</v>
      </c>
      <c r="J159" s="20">
        <v>1</v>
      </c>
      <c r="K159" s="28">
        <v>399</v>
      </c>
      <c r="L159" s="27">
        <v>84.96</v>
      </c>
      <c r="M159" s="23" t="s">
        <v>1109</v>
      </c>
      <c r="N159" s="23" t="s">
        <v>1110</v>
      </c>
      <c r="O159" s="23" t="s">
        <v>1121</v>
      </c>
    </row>
    <row r="160" spans="1:15" x14ac:dyDescent="0.3">
      <c r="A160" s="2" t="s">
        <v>715</v>
      </c>
      <c r="B160" s="7">
        <v>44609</v>
      </c>
      <c r="C160" s="39" t="s">
        <v>924</v>
      </c>
      <c r="D160" s="23" t="s">
        <v>938</v>
      </c>
      <c r="E160" t="s">
        <v>1133</v>
      </c>
      <c r="F160" s="11" t="s">
        <v>717</v>
      </c>
      <c r="G160" s="23" t="s">
        <v>991</v>
      </c>
      <c r="H160" s="23" t="s">
        <v>1052</v>
      </c>
      <c r="I160" s="2" t="s">
        <v>718</v>
      </c>
      <c r="J160" s="20">
        <v>1</v>
      </c>
      <c r="K160" s="28">
        <v>449</v>
      </c>
      <c r="L160" s="27">
        <v>47.2</v>
      </c>
      <c r="M160" s="23" t="s">
        <v>1109</v>
      </c>
      <c r="N160" s="23" t="s">
        <v>1110</v>
      </c>
      <c r="O160" s="23" t="s">
        <v>1114</v>
      </c>
    </row>
    <row r="161" spans="1:15" x14ac:dyDescent="0.3">
      <c r="A161" s="2" t="s">
        <v>720</v>
      </c>
      <c r="B161" s="7">
        <v>44591</v>
      </c>
      <c r="C161" s="39" t="s">
        <v>846</v>
      </c>
      <c r="D161" s="23" t="s">
        <v>935</v>
      </c>
      <c r="E161" t="s">
        <v>1134</v>
      </c>
      <c r="F161" s="11" t="s">
        <v>700</v>
      </c>
      <c r="G161" s="23" t="s">
        <v>1021</v>
      </c>
      <c r="H161" s="23" t="s">
        <v>1058</v>
      </c>
      <c r="I161" s="2" t="s">
        <v>224</v>
      </c>
      <c r="J161" s="20">
        <v>1</v>
      </c>
      <c r="K161" s="28" t="s">
        <v>21</v>
      </c>
      <c r="L161" s="27">
        <v>84.96</v>
      </c>
      <c r="M161" s="23" t="s">
        <v>1109</v>
      </c>
      <c r="N161" s="23" t="s">
        <v>1111</v>
      </c>
      <c r="O161" s="23" t="s">
        <v>1114</v>
      </c>
    </row>
    <row r="162" spans="1:15" x14ac:dyDescent="0.3">
      <c r="A162" s="2" t="s">
        <v>722</v>
      </c>
      <c r="B162" s="7">
        <v>44540</v>
      </c>
      <c r="C162" s="39" t="s">
        <v>894</v>
      </c>
      <c r="D162" s="23" t="s">
        <v>941</v>
      </c>
      <c r="E162" t="s">
        <v>1135</v>
      </c>
      <c r="F162" s="11" t="s">
        <v>724</v>
      </c>
      <c r="G162" s="23" t="s">
        <v>984</v>
      </c>
      <c r="H162" s="23" t="s">
        <v>1054</v>
      </c>
      <c r="I162" s="2" t="s">
        <v>28</v>
      </c>
      <c r="J162" s="20">
        <v>1</v>
      </c>
      <c r="K162" s="28">
        <v>449</v>
      </c>
      <c r="L162" s="27">
        <v>84.96</v>
      </c>
      <c r="M162" s="23" t="s">
        <v>1108</v>
      </c>
      <c r="N162" s="23" t="s">
        <v>1110</v>
      </c>
      <c r="O162" s="23" t="s">
        <v>1119</v>
      </c>
    </row>
    <row r="163" spans="1:15" x14ac:dyDescent="0.3">
      <c r="A163" s="2" t="s">
        <v>725</v>
      </c>
      <c r="B163" s="7">
        <v>44531</v>
      </c>
      <c r="C163" s="39" t="s">
        <v>925</v>
      </c>
      <c r="D163" s="23" t="s">
        <v>937</v>
      </c>
      <c r="E163" t="s">
        <v>1135</v>
      </c>
      <c r="F163" s="11" t="s">
        <v>975</v>
      </c>
      <c r="G163" s="23" t="s">
        <v>1046</v>
      </c>
      <c r="H163" s="23" t="s">
        <v>1053</v>
      </c>
      <c r="I163" s="2" t="s">
        <v>28</v>
      </c>
      <c r="J163" s="20">
        <v>1</v>
      </c>
      <c r="K163" s="28">
        <v>449</v>
      </c>
      <c r="L163" s="27">
        <v>84.96</v>
      </c>
      <c r="M163" s="23" t="s">
        <v>1108</v>
      </c>
      <c r="N163" s="23" t="s">
        <v>1110</v>
      </c>
      <c r="O163" s="23" t="s">
        <v>1119</v>
      </c>
    </row>
    <row r="164" spans="1:15" x14ac:dyDescent="0.3">
      <c r="A164" s="2" t="s">
        <v>729</v>
      </c>
      <c r="B164" s="7">
        <v>44609</v>
      </c>
      <c r="C164" s="39" t="s">
        <v>926</v>
      </c>
      <c r="D164" s="23" t="s">
        <v>938</v>
      </c>
      <c r="E164" t="s">
        <v>1133</v>
      </c>
      <c r="F164" s="11" t="s">
        <v>731</v>
      </c>
      <c r="G164" s="23" t="s">
        <v>1033</v>
      </c>
      <c r="H164" s="23" t="s">
        <v>339</v>
      </c>
      <c r="I164" s="2" t="s">
        <v>284</v>
      </c>
      <c r="J164" s="20">
        <v>1</v>
      </c>
      <c r="K164" s="28">
        <v>449</v>
      </c>
      <c r="L164" s="27">
        <v>84.96</v>
      </c>
      <c r="M164" s="23" t="s">
        <v>1108</v>
      </c>
      <c r="N164" s="23" t="s">
        <v>1110</v>
      </c>
      <c r="O164" s="23" t="s">
        <v>1114</v>
      </c>
    </row>
    <row r="165" spans="1:15" x14ac:dyDescent="0.3">
      <c r="A165" s="2" t="s">
        <v>732</v>
      </c>
      <c r="B165" s="7">
        <v>44581</v>
      </c>
      <c r="C165" s="39" t="s">
        <v>927</v>
      </c>
      <c r="D165" s="23" t="s">
        <v>938</v>
      </c>
      <c r="E165" t="s">
        <v>1134</v>
      </c>
      <c r="F165" s="11" t="s">
        <v>500</v>
      </c>
      <c r="G165" s="23" t="s">
        <v>999</v>
      </c>
      <c r="H165" s="23" t="s">
        <v>1059</v>
      </c>
      <c r="I165" s="2" t="s">
        <v>17</v>
      </c>
      <c r="J165" s="20">
        <v>1</v>
      </c>
      <c r="K165" s="28">
        <v>449</v>
      </c>
      <c r="L165" s="27">
        <v>84.96</v>
      </c>
      <c r="M165" s="23" t="s">
        <v>1109</v>
      </c>
      <c r="N165" s="23" t="s">
        <v>1110</v>
      </c>
      <c r="O165" s="23" t="s">
        <v>1114</v>
      </c>
    </row>
    <row r="166" spans="1:15" x14ac:dyDescent="0.3">
      <c r="A166" s="2" t="s">
        <v>734</v>
      </c>
      <c r="B166" s="7">
        <v>44534</v>
      </c>
      <c r="C166" s="39" t="s">
        <v>928</v>
      </c>
      <c r="D166" s="23" t="s">
        <v>939</v>
      </c>
      <c r="E166" t="s">
        <v>1135</v>
      </c>
      <c r="F166" s="11" t="s">
        <v>709</v>
      </c>
      <c r="G166" s="23" t="s">
        <v>998</v>
      </c>
      <c r="H166" s="23" t="s">
        <v>736</v>
      </c>
      <c r="I166" s="2" t="s">
        <v>78</v>
      </c>
      <c r="J166" s="20">
        <v>1</v>
      </c>
      <c r="K166" s="28">
        <v>399</v>
      </c>
      <c r="L166" s="27">
        <v>84.96</v>
      </c>
      <c r="M166" s="23" t="s">
        <v>1108</v>
      </c>
      <c r="N166" s="23" t="s">
        <v>1110</v>
      </c>
      <c r="O166" s="23" t="s">
        <v>1120</v>
      </c>
    </row>
    <row r="167" spans="1:15" x14ac:dyDescent="0.3">
      <c r="A167" s="2" t="s">
        <v>737</v>
      </c>
      <c r="B167" s="7">
        <v>44555</v>
      </c>
      <c r="C167" s="39" t="s">
        <v>929</v>
      </c>
      <c r="D167" s="23" t="s">
        <v>939</v>
      </c>
      <c r="E167" t="s">
        <v>1135</v>
      </c>
      <c r="F167" s="11" t="s">
        <v>739</v>
      </c>
      <c r="G167" s="23" t="s">
        <v>1047</v>
      </c>
      <c r="H167" s="23" t="s">
        <v>741</v>
      </c>
      <c r="I167" s="2" t="s">
        <v>70</v>
      </c>
      <c r="J167" s="20">
        <v>1</v>
      </c>
      <c r="K167" s="28">
        <v>399</v>
      </c>
      <c r="L167" s="27">
        <v>84.96</v>
      </c>
      <c r="M167" s="23" t="s">
        <v>1108</v>
      </c>
      <c r="N167" s="23" t="s">
        <v>1110</v>
      </c>
      <c r="O167" s="23" t="s">
        <v>1121</v>
      </c>
    </row>
    <row r="168" spans="1:15" x14ac:dyDescent="0.3">
      <c r="A168" s="2" t="s">
        <v>742</v>
      </c>
      <c r="B168" s="7">
        <v>44543</v>
      </c>
      <c r="C168" s="39" t="s">
        <v>930</v>
      </c>
      <c r="D168" s="23" t="s">
        <v>940</v>
      </c>
      <c r="E168" t="s">
        <v>1135</v>
      </c>
      <c r="F168" s="11" t="s">
        <v>638</v>
      </c>
      <c r="G168" s="23" t="s">
        <v>980</v>
      </c>
      <c r="H168" s="23" t="s">
        <v>339</v>
      </c>
      <c r="I168" s="2" t="s">
        <v>28</v>
      </c>
      <c r="J168" s="20">
        <v>3</v>
      </c>
      <c r="K168" s="28">
        <v>1347</v>
      </c>
      <c r="L168" s="27">
        <v>84.96</v>
      </c>
      <c r="M168" s="23" t="s">
        <v>1109</v>
      </c>
      <c r="N168" s="23" t="s">
        <v>1110</v>
      </c>
      <c r="O168" s="23" t="s">
        <v>1119</v>
      </c>
    </row>
    <row r="169" spans="1:15" x14ac:dyDescent="0.3">
      <c r="A169" s="2" t="s">
        <v>744</v>
      </c>
      <c r="B169" s="7">
        <v>44531</v>
      </c>
      <c r="C169" s="39" t="s">
        <v>931</v>
      </c>
      <c r="D169" s="23" t="s">
        <v>937</v>
      </c>
      <c r="E169" t="s">
        <v>1135</v>
      </c>
      <c r="F169" s="11" t="s">
        <v>746</v>
      </c>
      <c r="G169" s="23" t="s">
        <v>1048</v>
      </c>
      <c r="H169" s="23" t="s">
        <v>1070</v>
      </c>
      <c r="I169" s="2" t="s">
        <v>321</v>
      </c>
      <c r="J169" s="20">
        <v>1</v>
      </c>
      <c r="K169" s="28">
        <v>1299</v>
      </c>
      <c r="L169" s="27">
        <v>114.46</v>
      </c>
      <c r="M169" s="23" t="s">
        <v>1108</v>
      </c>
      <c r="N169" s="23" t="s">
        <v>1110</v>
      </c>
      <c r="O169" s="23" t="s">
        <v>1118</v>
      </c>
    </row>
    <row r="170" spans="1:15" x14ac:dyDescent="0.3">
      <c r="A170" s="2" t="s">
        <v>749</v>
      </c>
      <c r="B170" s="7">
        <v>44539</v>
      </c>
      <c r="C170" s="39" t="s">
        <v>932</v>
      </c>
      <c r="D170" s="23" t="s">
        <v>938</v>
      </c>
      <c r="E170" t="s">
        <v>1135</v>
      </c>
      <c r="F170" s="11" t="s">
        <v>976</v>
      </c>
      <c r="G170" s="23" t="s">
        <v>1049</v>
      </c>
      <c r="H170" s="23" t="s">
        <v>1055</v>
      </c>
      <c r="I170" s="2" t="s">
        <v>321</v>
      </c>
      <c r="J170" s="20">
        <v>1</v>
      </c>
      <c r="K170" s="28">
        <v>1299</v>
      </c>
      <c r="L170" s="27">
        <v>105.02</v>
      </c>
      <c r="M170" s="23" t="s">
        <v>1108</v>
      </c>
      <c r="N170" s="23" t="s">
        <v>1110</v>
      </c>
      <c r="O170" s="23" t="s">
        <v>1118</v>
      </c>
    </row>
    <row r="171" spans="1:15" x14ac:dyDescent="0.3">
      <c r="A171" s="2" t="s">
        <v>754</v>
      </c>
      <c r="B171" s="7">
        <v>44615</v>
      </c>
      <c r="C171" s="39" t="s">
        <v>908</v>
      </c>
      <c r="D171" s="23" t="s">
        <v>937</v>
      </c>
      <c r="E171" t="s">
        <v>1133</v>
      </c>
      <c r="F171" s="11" t="s">
        <v>756</v>
      </c>
      <c r="G171" s="23" t="s">
        <v>991</v>
      </c>
      <c r="H171" s="23" t="s">
        <v>1052</v>
      </c>
      <c r="I171" s="2" t="s">
        <v>757</v>
      </c>
      <c r="J171" s="20">
        <v>1</v>
      </c>
      <c r="K171" s="28">
        <v>1499</v>
      </c>
      <c r="L171" s="27">
        <v>80.239999999999995</v>
      </c>
      <c r="M171" s="23" t="s">
        <v>1109</v>
      </c>
      <c r="N171" s="23" t="s">
        <v>1110</v>
      </c>
      <c r="O171" s="23" t="s">
        <v>1123</v>
      </c>
    </row>
    <row r="172" spans="1:15" x14ac:dyDescent="0.3">
      <c r="A172" s="2" t="s">
        <v>759</v>
      </c>
      <c r="B172" s="7">
        <v>44556</v>
      </c>
      <c r="C172" s="39" t="s">
        <v>933</v>
      </c>
      <c r="D172" s="23" t="s">
        <v>935</v>
      </c>
      <c r="E172" t="s">
        <v>1135</v>
      </c>
      <c r="F172" s="11" t="s">
        <v>761</v>
      </c>
      <c r="G172" s="23" t="s">
        <v>980</v>
      </c>
      <c r="H172" s="23" t="s">
        <v>339</v>
      </c>
      <c r="I172" s="2" t="s">
        <v>17</v>
      </c>
      <c r="J172" s="20">
        <v>1</v>
      </c>
      <c r="K172" s="28">
        <v>449</v>
      </c>
      <c r="L172" s="27">
        <v>84.96</v>
      </c>
      <c r="M172" s="23" t="s">
        <v>1108</v>
      </c>
      <c r="N172" s="23" t="s">
        <v>1110</v>
      </c>
      <c r="O172" s="23" t="s">
        <v>1114</v>
      </c>
    </row>
    <row r="173" spans="1:15" x14ac:dyDescent="0.3">
      <c r="A173" s="33"/>
      <c r="E173"/>
      <c r="F173" s="34"/>
      <c r="I173" s="33"/>
      <c r="J173" s="35"/>
      <c r="K173" s="28"/>
    </row>
    <row r="174" spans="1:15" x14ac:dyDescent="0.3">
      <c r="A174" s="33"/>
      <c r="E174"/>
      <c r="F174" s="34"/>
      <c r="I174" s="33"/>
      <c r="J174" s="35"/>
      <c r="K174" s="28"/>
    </row>
    <row r="175" spans="1:15" x14ac:dyDescent="0.3">
      <c r="A175" s="33"/>
      <c r="E175"/>
      <c r="F175" s="34"/>
      <c r="I175" s="33"/>
      <c r="J175" s="35"/>
      <c r="K175" s="28"/>
    </row>
    <row r="176" spans="1:15" x14ac:dyDescent="0.3">
      <c r="A176" s="33"/>
      <c r="E176"/>
      <c r="F176" s="34"/>
      <c r="I176" s="33"/>
      <c r="J176" s="35"/>
      <c r="K176" s="28"/>
    </row>
    <row r="177" spans="1:11" x14ac:dyDescent="0.3">
      <c r="A177" s="33"/>
      <c r="E177"/>
      <c r="F177" s="34"/>
      <c r="I177" s="33"/>
      <c r="J177" s="35"/>
      <c r="K177" s="28"/>
    </row>
    <row r="178" spans="1:11" x14ac:dyDescent="0.3">
      <c r="A178" s="33"/>
      <c r="E178"/>
      <c r="F178" s="34"/>
      <c r="I178" s="33"/>
      <c r="J178" s="35"/>
      <c r="K178" s="28"/>
    </row>
    <row r="179" spans="1:11" x14ac:dyDescent="0.3">
      <c r="A179" s="33"/>
      <c r="E179"/>
      <c r="F179" s="34"/>
      <c r="I179" s="33"/>
      <c r="J179" s="35"/>
      <c r="K179" s="28"/>
    </row>
    <row r="180" spans="1:11" x14ac:dyDescent="0.3">
      <c r="A180" s="33"/>
      <c r="E180"/>
      <c r="F180" s="34"/>
      <c r="I180" s="33"/>
      <c r="J180" s="35"/>
      <c r="K180" s="28"/>
    </row>
    <row r="181" spans="1:11" x14ac:dyDescent="0.3">
      <c r="A181" s="33"/>
      <c r="E181"/>
      <c r="F181" s="34"/>
      <c r="I181" s="33"/>
      <c r="J181" s="35"/>
      <c r="K181" s="28"/>
    </row>
    <row r="182" spans="1:11" x14ac:dyDescent="0.3">
      <c r="A182" s="33"/>
      <c r="E182"/>
      <c r="F182" s="34"/>
      <c r="I182" s="33"/>
      <c r="J182" s="35"/>
      <c r="K182" s="28"/>
    </row>
    <row r="183" spans="1:11" x14ac:dyDescent="0.3">
      <c r="A183" s="33"/>
      <c r="E183"/>
      <c r="F183" s="34"/>
      <c r="I183" s="33"/>
      <c r="J183" s="35"/>
      <c r="K183" s="28"/>
    </row>
    <row r="184" spans="1:11" x14ac:dyDescent="0.3">
      <c r="A184" s="33"/>
      <c r="E184"/>
      <c r="F184" s="34"/>
      <c r="I184" s="33"/>
      <c r="J184" s="35"/>
      <c r="K184" s="28"/>
    </row>
    <row r="185" spans="1:11" x14ac:dyDescent="0.3">
      <c r="A185" s="33"/>
      <c r="E185"/>
      <c r="F185" s="34"/>
      <c r="I185" s="33"/>
      <c r="J185" s="35"/>
      <c r="K185" s="28"/>
    </row>
    <row r="186" spans="1:11" x14ac:dyDescent="0.3">
      <c r="A186" s="33"/>
      <c r="E186"/>
      <c r="F186" s="34"/>
      <c r="I186" s="33"/>
      <c r="J186" s="35"/>
      <c r="K186" s="28"/>
    </row>
    <row r="187" spans="1:11" x14ac:dyDescent="0.3">
      <c r="A187" s="33"/>
      <c r="E187"/>
      <c r="F187" s="34"/>
      <c r="I187" s="33"/>
      <c r="J187" s="35"/>
      <c r="K187" s="28"/>
    </row>
    <row r="188" spans="1:11" x14ac:dyDescent="0.3">
      <c r="A188" s="33"/>
      <c r="E188"/>
      <c r="F188" s="34"/>
      <c r="I188" s="33"/>
      <c r="J188" s="35"/>
      <c r="K188" s="28"/>
    </row>
    <row r="189" spans="1:11" x14ac:dyDescent="0.3">
      <c r="A189" s="33"/>
      <c r="E189"/>
      <c r="F189" s="34"/>
      <c r="I189" s="33"/>
      <c r="J189" s="35"/>
      <c r="K189" s="28"/>
    </row>
    <row r="190" spans="1:11" x14ac:dyDescent="0.3">
      <c r="A190" s="33"/>
      <c r="E190"/>
      <c r="F190" s="34"/>
      <c r="I190" s="33"/>
      <c r="J190" s="35"/>
      <c r="K190" s="28"/>
    </row>
    <row r="191" spans="1:11" x14ac:dyDescent="0.3">
      <c r="A191" s="33"/>
      <c r="E191"/>
      <c r="F191" s="34"/>
      <c r="I191" s="33"/>
      <c r="J191" s="35"/>
      <c r="K191" s="28"/>
    </row>
    <row r="192" spans="1:11" x14ac:dyDescent="0.3">
      <c r="A192" s="33"/>
      <c r="E192"/>
      <c r="F192" s="34"/>
      <c r="I192" s="33"/>
      <c r="J192" s="35"/>
      <c r="K192" s="28"/>
    </row>
    <row r="193" spans="1:11" x14ac:dyDescent="0.3">
      <c r="A193" s="33"/>
      <c r="E193"/>
      <c r="F193" s="34"/>
      <c r="I193" s="33"/>
      <c r="J193" s="35"/>
      <c r="K193" s="28"/>
    </row>
    <row r="194" spans="1:11" x14ac:dyDescent="0.3">
      <c r="A194" s="33"/>
      <c r="E194"/>
      <c r="F194" s="34"/>
      <c r="I194" s="33"/>
      <c r="J194" s="35"/>
      <c r="K194" s="28"/>
    </row>
    <row r="195" spans="1:11" x14ac:dyDescent="0.3">
      <c r="A195" s="33"/>
      <c r="E195"/>
      <c r="F195" s="34"/>
      <c r="I195" s="33"/>
      <c r="J195" s="35"/>
      <c r="K195" s="28"/>
    </row>
    <row r="196" spans="1:11" x14ac:dyDescent="0.3">
      <c r="A196" s="33"/>
      <c r="E196"/>
      <c r="F196" s="34"/>
      <c r="I196" s="33"/>
      <c r="J196" s="35"/>
      <c r="K196" s="28"/>
    </row>
    <row r="197" spans="1:11" x14ac:dyDescent="0.3">
      <c r="A197" s="33"/>
      <c r="E197"/>
      <c r="F197" s="34"/>
      <c r="I197" s="33"/>
      <c r="J197" s="35"/>
      <c r="K197" s="28"/>
    </row>
    <row r="198" spans="1:11" x14ac:dyDescent="0.3">
      <c r="F198" s="11" t="s">
        <v>21</v>
      </c>
    </row>
    <row r="1899" spans="11:11" x14ac:dyDescent="0.3">
      <c r="K1899" s="27">
        <v>9999</v>
      </c>
    </row>
  </sheetData>
  <conditionalFormatting sqref="A1:A1048576">
    <cfRule type="duplicateValues" dxfId="16" priority="2"/>
  </conditionalFormatting>
  <conditionalFormatting sqref="N1:N1048576">
    <cfRule type="containsText" dxfId="15" priority="1" operator="containsText" text=" ">
      <formula>NOT(ISERROR(SEARCH(" ",N1)))</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0"/>
  <sheetViews>
    <sheetView workbookViewId="0">
      <selection activeCell="K3" sqref="K3"/>
    </sheetView>
  </sheetViews>
  <sheetFormatPr defaultRowHeight="14.4" x14ac:dyDescent="0.3"/>
  <cols>
    <col min="1" max="1" width="13.109375" customWidth="1"/>
    <col min="2" max="2" width="18.44140625" customWidth="1"/>
    <col min="4" max="4" width="12.21875" customWidth="1"/>
    <col min="5" max="5" width="18" customWidth="1"/>
    <col min="7" max="7" width="18.88671875" customWidth="1"/>
    <col min="8" max="8" width="19.21875" customWidth="1"/>
    <col min="10" max="10" width="10.77734375" customWidth="1"/>
    <col min="11" max="11" width="9.6640625" customWidth="1"/>
  </cols>
  <sheetData>
    <row r="2" spans="1:11" x14ac:dyDescent="0.3">
      <c r="J2" s="30" t="s">
        <v>1145</v>
      </c>
      <c r="K2" t="s">
        <v>1139</v>
      </c>
    </row>
    <row r="3" spans="1:11" x14ac:dyDescent="0.3">
      <c r="A3" t="s">
        <v>1139</v>
      </c>
      <c r="J3" s="31" t="s">
        <v>1138</v>
      </c>
      <c r="K3" s="37">
        <v>74142</v>
      </c>
    </row>
    <row r="4" spans="1:11" x14ac:dyDescent="0.3">
      <c r="A4" s="18">
        <v>88868</v>
      </c>
      <c r="B4" s="37">
        <f>GETPIVOTDATA("ITEM_TOTAL",$A$3)</f>
        <v>88868</v>
      </c>
      <c r="J4" s="31" t="s">
        <v>1137</v>
      </c>
      <c r="K4" s="37">
        <v>14726</v>
      </c>
    </row>
    <row r="5" spans="1:11" x14ac:dyDescent="0.3">
      <c r="J5" s="31" t="s">
        <v>1113</v>
      </c>
      <c r="K5" s="37">
        <v>88868</v>
      </c>
    </row>
    <row r="8" spans="1:11" x14ac:dyDescent="0.3">
      <c r="A8" t="s">
        <v>1140</v>
      </c>
      <c r="D8" s="30" t="s">
        <v>1144</v>
      </c>
      <c r="E8" t="s">
        <v>1112</v>
      </c>
      <c r="G8" s="30" t="s">
        <v>1125</v>
      </c>
      <c r="H8" t="s">
        <v>1136</v>
      </c>
      <c r="J8" s="30" t="s">
        <v>775</v>
      </c>
      <c r="K8" t="s">
        <v>1139</v>
      </c>
    </row>
    <row r="9" spans="1:11" x14ac:dyDescent="0.3">
      <c r="A9" s="18">
        <v>171</v>
      </c>
      <c r="B9" s="18">
        <f>GETPIVOTDATA("ORDER_NO.",$A$8)</f>
        <v>171</v>
      </c>
      <c r="D9" s="31" t="s">
        <v>339</v>
      </c>
      <c r="E9" s="37">
        <v>17575</v>
      </c>
      <c r="G9" s="31" t="s">
        <v>1134</v>
      </c>
      <c r="H9" s="18">
        <v>19</v>
      </c>
      <c r="J9" s="31" t="s">
        <v>1109</v>
      </c>
      <c r="K9" s="18">
        <v>21664</v>
      </c>
    </row>
    <row r="10" spans="1:11" x14ac:dyDescent="0.3">
      <c r="D10" s="31" t="s">
        <v>1052</v>
      </c>
      <c r="E10" s="37">
        <v>14339</v>
      </c>
      <c r="G10" s="31" t="s">
        <v>1133</v>
      </c>
      <c r="H10" s="18">
        <v>13</v>
      </c>
      <c r="J10" s="31" t="s">
        <v>1108</v>
      </c>
      <c r="K10" s="18">
        <v>67204</v>
      </c>
    </row>
    <row r="11" spans="1:11" x14ac:dyDescent="0.3">
      <c r="D11" s="31" t="s">
        <v>1058</v>
      </c>
      <c r="E11" s="37">
        <v>11245</v>
      </c>
      <c r="G11" s="31" t="s">
        <v>1131</v>
      </c>
      <c r="H11" s="18">
        <v>8</v>
      </c>
      <c r="J11" s="31" t="s">
        <v>1113</v>
      </c>
      <c r="K11" s="18">
        <v>88868</v>
      </c>
    </row>
    <row r="12" spans="1:11" x14ac:dyDescent="0.3">
      <c r="A12" t="s">
        <v>1141</v>
      </c>
      <c r="D12" s="31" t="s">
        <v>1054</v>
      </c>
      <c r="E12" s="37">
        <v>7023</v>
      </c>
      <c r="G12" s="31" t="s">
        <v>1127</v>
      </c>
      <c r="H12" s="18">
        <v>7</v>
      </c>
    </row>
    <row r="13" spans="1:11" x14ac:dyDescent="0.3">
      <c r="A13" s="18">
        <v>186</v>
      </c>
      <c r="B13" s="18">
        <f>GETPIVOTDATA("QUANTITY",$A$12)</f>
        <v>186</v>
      </c>
      <c r="D13" s="31" t="s">
        <v>1053</v>
      </c>
      <c r="E13" s="37">
        <v>4651</v>
      </c>
      <c r="G13" s="31" t="s">
        <v>1132</v>
      </c>
      <c r="H13" s="18">
        <v>13</v>
      </c>
    </row>
    <row r="14" spans="1:11" x14ac:dyDescent="0.3">
      <c r="D14" s="31" t="s">
        <v>1113</v>
      </c>
      <c r="E14" s="37">
        <v>54833</v>
      </c>
      <c r="G14" s="31" t="s">
        <v>1130</v>
      </c>
      <c r="H14" s="18">
        <v>18</v>
      </c>
      <c r="J14" s="30" t="s">
        <v>776</v>
      </c>
      <c r="K14" t="s">
        <v>1140</v>
      </c>
    </row>
    <row r="15" spans="1:11" x14ac:dyDescent="0.3">
      <c r="A15" t="s">
        <v>1142</v>
      </c>
      <c r="G15" s="31" t="s">
        <v>1128</v>
      </c>
      <c r="H15" s="18">
        <v>27</v>
      </c>
      <c r="J15" s="31" t="s">
        <v>1110</v>
      </c>
      <c r="K15" s="18">
        <v>160</v>
      </c>
    </row>
    <row r="16" spans="1:11" x14ac:dyDescent="0.3">
      <c r="A16">
        <f>GETPIVOTDATA("ITEM_TOTAL",$A$3)/GETPIVOTDATA("ORDER_NO.",$A$8)</f>
        <v>519.69590643274853</v>
      </c>
      <c r="B16" s="37">
        <f>GETPIVOTDATA("ITEM_TOTAL",$A$3)/GETPIVOTDATA("ORDER_NO.",$A$8)</f>
        <v>519.69590643274853</v>
      </c>
      <c r="G16" s="31" t="s">
        <v>1129</v>
      </c>
      <c r="H16" s="18">
        <v>29</v>
      </c>
      <c r="J16" s="31" t="s">
        <v>1111</v>
      </c>
      <c r="K16" s="18">
        <v>11</v>
      </c>
    </row>
    <row r="17" spans="1:11" x14ac:dyDescent="0.3">
      <c r="G17" s="31" t="s">
        <v>1135</v>
      </c>
      <c r="H17" s="18">
        <v>37</v>
      </c>
      <c r="J17" s="31" t="s">
        <v>1113</v>
      </c>
      <c r="K17" s="18">
        <v>171</v>
      </c>
    </row>
    <row r="18" spans="1:11" x14ac:dyDescent="0.3">
      <c r="G18" s="31" t="s">
        <v>1113</v>
      </c>
      <c r="H18" s="18">
        <v>171</v>
      </c>
    </row>
    <row r="19" spans="1:11" x14ac:dyDescent="0.3">
      <c r="A19" s="30" t="s">
        <v>1143</v>
      </c>
      <c r="B19" t="s">
        <v>1112</v>
      </c>
    </row>
    <row r="20" spans="1:11" x14ac:dyDescent="0.3">
      <c r="A20" s="31" t="s">
        <v>991</v>
      </c>
      <c r="B20" s="37">
        <v>12153</v>
      </c>
      <c r="G20" s="30" t="s">
        <v>1144</v>
      </c>
      <c r="H20" t="s">
        <v>1112</v>
      </c>
    </row>
    <row r="21" spans="1:11" x14ac:dyDescent="0.3">
      <c r="A21" s="31" t="s">
        <v>980</v>
      </c>
      <c r="B21" s="37">
        <v>10548</v>
      </c>
      <c r="G21" s="31" t="s">
        <v>1114</v>
      </c>
      <c r="H21" s="37">
        <v>22292</v>
      </c>
    </row>
    <row r="22" spans="1:11" x14ac:dyDescent="0.3">
      <c r="A22" s="31" t="s">
        <v>1021</v>
      </c>
      <c r="B22" s="37">
        <v>7791</v>
      </c>
      <c r="G22" s="31" t="s">
        <v>1119</v>
      </c>
      <c r="H22" s="37">
        <v>16560</v>
      </c>
    </row>
    <row r="23" spans="1:11" x14ac:dyDescent="0.3">
      <c r="A23" s="31" t="s">
        <v>984</v>
      </c>
      <c r="B23" s="37">
        <v>6374</v>
      </c>
      <c r="G23" s="31" t="s">
        <v>1118</v>
      </c>
      <c r="H23" s="37">
        <v>16208</v>
      </c>
    </row>
    <row r="24" spans="1:11" x14ac:dyDescent="0.3">
      <c r="A24" s="31" t="s">
        <v>989</v>
      </c>
      <c r="B24" s="37">
        <v>4126</v>
      </c>
      <c r="G24" s="31" t="s">
        <v>1120</v>
      </c>
      <c r="H24" s="37">
        <v>13583</v>
      </c>
    </row>
    <row r="25" spans="1:11" x14ac:dyDescent="0.3">
      <c r="A25" s="31" t="s">
        <v>1113</v>
      </c>
      <c r="B25" s="37">
        <v>40992</v>
      </c>
      <c r="G25" s="31" t="s">
        <v>1121</v>
      </c>
      <c r="H25" s="37">
        <v>8293</v>
      </c>
    </row>
    <row r="26" spans="1:11" x14ac:dyDescent="0.3">
      <c r="G26" s="31" t="s">
        <v>1115</v>
      </c>
      <c r="H26" s="37">
        <v>5252</v>
      </c>
    </row>
    <row r="27" spans="1:11" x14ac:dyDescent="0.3">
      <c r="G27" s="31" t="s">
        <v>1123</v>
      </c>
      <c r="H27" s="37">
        <v>2998</v>
      </c>
    </row>
    <row r="28" spans="1:11" x14ac:dyDescent="0.3">
      <c r="G28" s="31" t="s">
        <v>1122</v>
      </c>
      <c r="H28" s="37">
        <v>2783</v>
      </c>
    </row>
    <row r="29" spans="1:11" x14ac:dyDescent="0.3">
      <c r="G29" s="31" t="s">
        <v>1116</v>
      </c>
      <c r="H29" s="37">
        <v>899</v>
      </c>
    </row>
    <row r="30" spans="1:11" x14ac:dyDescent="0.3">
      <c r="G30" s="31" t="s">
        <v>1113</v>
      </c>
      <c r="H30" s="37">
        <v>88868</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6"/>
  <sheetViews>
    <sheetView showGridLines="0" tabSelected="1" zoomScaleNormal="100" workbookViewId="0">
      <selection sqref="A1:XFD1048576"/>
    </sheetView>
  </sheetViews>
  <sheetFormatPr defaultRowHeight="14.4" x14ac:dyDescent="0.3"/>
  <sheetData>
    <row r="1" spans="1:1" x14ac:dyDescent="0.3">
      <c r="A1" s="36"/>
    </row>
    <row r="2" spans="1:1" x14ac:dyDescent="0.3">
      <c r="A2" s="36"/>
    </row>
    <row r="3" spans="1:1" x14ac:dyDescent="0.3">
      <c r="A3" s="36"/>
    </row>
    <row r="4" spans="1:1" x14ac:dyDescent="0.3">
      <c r="A4" s="36"/>
    </row>
    <row r="5" spans="1:1" x14ac:dyDescent="0.3">
      <c r="A5" s="36"/>
    </row>
    <row r="6" spans="1:1" x14ac:dyDescent="0.3">
      <c r="A6" s="36"/>
    </row>
    <row r="7" spans="1:1" x14ac:dyDescent="0.3">
      <c r="A7" s="36"/>
    </row>
    <row r="8" spans="1:1" x14ac:dyDescent="0.3">
      <c r="A8" s="36"/>
    </row>
    <row r="9" spans="1:1" x14ac:dyDescent="0.3">
      <c r="A9" s="36"/>
    </row>
    <row r="10" spans="1:1" x14ac:dyDescent="0.3">
      <c r="A10" s="36"/>
    </row>
    <row r="11" spans="1:1" x14ac:dyDescent="0.3">
      <c r="A11" s="36"/>
    </row>
    <row r="12" spans="1:1" x14ac:dyDescent="0.3">
      <c r="A12" s="36"/>
    </row>
    <row r="13" spans="1:1" x14ac:dyDescent="0.3">
      <c r="A13" s="36"/>
    </row>
    <row r="14" spans="1:1" x14ac:dyDescent="0.3">
      <c r="A14" s="36"/>
    </row>
    <row r="15" spans="1:1" x14ac:dyDescent="0.3">
      <c r="A15" s="36"/>
    </row>
    <row r="16" spans="1:1" x14ac:dyDescent="0.3">
      <c r="A16" s="36"/>
    </row>
    <row r="17" spans="1:1" x14ac:dyDescent="0.3">
      <c r="A17" s="36"/>
    </row>
    <row r="18" spans="1:1" x14ac:dyDescent="0.3">
      <c r="A18" s="36"/>
    </row>
    <row r="19" spans="1:1" x14ac:dyDescent="0.3">
      <c r="A19" s="36"/>
    </row>
    <row r="20" spans="1:1" x14ac:dyDescent="0.3">
      <c r="A20" s="36"/>
    </row>
    <row r="21" spans="1:1" x14ac:dyDescent="0.3">
      <c r="A21" s="36"/>
    </row>
    <row r="22" spans="1:1" x14ac:dyDescent="0.3">
      <c r="A22" s="36"/>
    </row>
    <row r="23" spans="1:1" x14ac:dyDescent="0.3">
      <c r="A23" s="36"/>
    </row>
    <row r="24" spans="1:1" x14ac:dyDescent="0.3">
      <c r="A24" s="36"/>
    </row>
    <row r="25" spans="1:1" x14ac:dyDescent="0.3">
      <c r="A25" s="36"/>
    </row>
    <row r="26" spans="1:1" x14ac:dyDescent="0.3">
      <c r="A26" s="36"/>
    </row>
    <row r="27" spans="1:1" x14ac:dyDescent="0.3">
      <c r="A27" s="36"/>
    </row>
    <row r="28" spans="1:1" x14ac:dyDescent="0.3">
      <c r="A28" s="36"/>
    </row>
    <row r="29" spans="1:1" x14ac:dyDescent="0.3">
      <c r="A29" s="36"/>
    </row>
    <row r="30" spans="1:1" x14ac:dyDescent="0.3">
      <c r="A30" s="36"/>
    </row>
    <row r="31" spans="1:1" x14ac:dyDescent="0.3">
      <c r="A31" s="36"/>
    </row>
    <row r="32" spans="1:1" x14ac:dyDescent="0.3">
      <c r="A32" s="36"/>
    </row>
    <row r="33" spans="1:1" x14ac:dyDescent="0.3">
      <c r="A33" s="36"/>
    </row>
    <row r="34" spans="1:1" x14ac:dyDescent="0.3">
      <c r="A34" s="36"/>
    </row>
    <row r="35" spans="1:1" x14ac:dyDescent="0.3">
      <c r="A35" s="36"/>
    </row>
    <row r="36" spans="1:1" x14ac:dyDescent="0.3">
      <c r="A36" s="36"/>
    </row>
    <row r="37" spans="1:1" x14ac:dyDescent="0.3">
      <c r="A37" s="36"/>
    </row>
    <row r="38" spans="1:1" x14ac:dyDescent="0.3">
      <c r="A38" s="36"/>
    </row>
    <row r="39" spans="1:1" x14ac:dyDescent="0.3">
      <c r="A39" s="36"/>
    </row>
    <row r="40" spans="1:1" x14ac:dyDescent="0.3">
      <c r="A40" s="36"/>
    </row>
    <row r="41" spans="1:1" x14ac:dyDescent="0.3">
      <c r="A41" s="36"/>
    </row>
    <row r="42" spans="1:1" x14ac:dyDescent="0.3">
      <c r="A42" s="36"/>
    </row>
    <row r="43" spans="1:1" x14ac:dyDescent="0.3">
      <c r="A43" s="36"/>
    </row>
    <row r="44" spans="1:1" x14ac:dyDescent="0.3">
      <c r="A44" s="36"/>
    </row>
    <row r="45" spans="1:1" x14ac:dyDescent="0.3">
      <c r="A45" s="36"/>
    </row>
    <row r="46" spans="1:1" x14ac:dyDescent="0.3">
      <c r="A46" s="36"/>
    </row>
    <row r="47" spans="1:1" x14ac:dyDescent="0.3">
      <c r="A47" s="36"/>
    </row>
    <row r="48" spans="1:1" x14ac:dyDescent="0.3">
      <c r="A48" s="36"/>
    </row>
    <row r="49" spans="1:1" x14ac:dyDescent="0.3">
      <c r="A49" s="36"/>
    </row>
    <row r="50" spans="1:1" x14ac:dyDescent="0.3">
      <c r="A50" s="36"/>
    </row>
    <row r="51" spans="1:1" x14ac:dyDescent="0.3">
      <c r="A51" s="36"/>
    </row>
    <row r="52" spans="1:1" x14ac:dyDescent="0.3">
      <c r="A52" s="36"/>
    </row>
    <row r="53" spans="1:1" x14ac:dyDescent="0.3">
      <c r="A53" s="36"/>
    </row>
    <row r="54" spans="1:1" x14ac:dyDescent="0.3">
      <c r="A54" s="36"/>
    </row>
    <row r="55" spans="1:1" x14ac:dyDescent="0.3">
      <c r="A55" s="36"/>
    </row>
    <row r="56" spans="1:1" x14ac:dyDescent="0.3">
      <c r="A56" s="36"/>
    </row>
    <row r="57" spans="1:1" x14ac:dyDescent="0.3">
      <c r="A57" s="36"/>
    </row>
    <row r="58" spans="1:1" x14ac:dyDescent="0.3">
      <c r="A58" s="36"/>
    </row>
    <row r="59" spans="1:1" x14ac:dyDescent="0.3">
      <c r="A59" s="36"/>
    </row>
    <row r="60" spans="1:1" x14ac:dyDescent="0.3">
      <c r="A60" s="36"/>
    </row>
    <row r="61" spans="1:1" x14ac:dyDescent="0.3">
      <c r="A61" s="36"/>
    </row>
    <row r="62" spans="1:1" x14ac:dyDescent="0.3">
      <c r="A62" s="36"/>
    </row>
    <row r="63" spans="1:1" x14ac:dyDescent="0.3">
      <c r="A63" s="36"/>
    </row>
    <row r="64" spans="1:1" x14ac:dyDescent="0.3">
      <c r="A64" s="36"/>
    </row>
    <row r="65" spans="1:1" x14ac:dyDescent="0.3">
      <c r="A65" s="36"/>
    </row>
    <row r="66" spans="1:1" x14ac:dyDescent="0.3">
      <c r="A66" s="36"/>
    </row>
    <row r="67" spans="1:1" x14ac:dyDescent="0.3">
      <c r="A67" s="36"/>
    </row>
    <row r="68" spans="1:1" x14ac:dyDescent="0.3">
      <c r="A68" s="36"/>
    </row>
    <row r="69" spans="1:1" x14ac:dyDescent="0.3">
      <c r="A69" s="36"/>
    </row>
    <row r="70" spans="1:1" x14ac:dyDescent="0.3">
      <c r="A70" s="36"/>
    </row>
    <row r="71" spans="1:1" x14ac:dyDescent="0.3">
      <c r="A71" s="36"/>
    </row>
    <row r="72" spans="1:1" x14ac:dyDescent="0.3">
      <c r="A72" s="36"/>
    </row>
    <row r="73" spans="1:1" x14ac:dyDescent="0.3">
      <c r="A73" s="36"/>
    </row>
    <row r="74" spans="1:1" x14ac:dyDescent="0.3">
      <c r="A74" s="36"/>
    </row>
    <row r="75" spans="1:1" x14ac:dyDescent="0.3">
      <c r="A75" s="36"/>
    </row>
    <row r="76" spans="1:1" x14ac:dyDescent="0.3">
      <c r="A76" s="36"/>
    </row>
    <row r="77" spans="1:1" x14ac:dyDescent="0.3">
      <c r="A77" s="36"/>
    </row>
    <row r="78" spans="1:1" x14ac:dyDescent="0.3">
      <c r="A78" s="36"/>
    </row>
    <row r="79" spans="1:1" x14ac:dyDescent="0.3">
      <c r="A79" s="36"/>
    </row>
    <row r="80" spans="1:1" x14ac:dyDescent="0.3">
      <c r="A80" s="36"/>
    </row>
    <row r="81" spans="1:1" x14ac:dyDescent="0.3">
      <c r="A81" s="36"/>
    </row>
    <row r="82" spans="1:1" x14ac:dyDescent="0.3">
      <c r="A82" s="36"/>
    </row>
    <row r="83" spans="1:1" x14ac:dyDescent="0.3">
      <c r="A83" s="36"/>
    </row>
    <row r="84" spans="1:1" x14ac:dyDescent="0.3">
      <c r="A84" s="36"/>
    </row>
    <row r="85" spans="1:1" x14ac:dyDescent="0.3">
      <c r="A85" s="36"/>
    </row>
    <row r="86" spans="1:1" x14ac:dyDescent="0.3">
      <c r="A86" s="36"/>
    </row>
    <row r="87" spans="1:1" x14ac:dyDescent="0.3">
      <c r="A87" s="36"/>
    </row>
    <row r="88" spans="1:1" x14ac:dyDescent="0.3">
      <c r="A88" s="36"/>
    </row>
    <row r="89" spans="1:1" x14ac:dyDescent="0.3">
      <c r="A89" s="36"/>
    </row>
    <row r="90" spans="1:1" x14ac:dyDescent="0.3">
      <c r="A90" s="36"/>
    </row>
    <row r="91" spans="1:1" x14ac:dyDescent="0.3">
      <c r="A91" s="36"/>
    </row>
    <row r="92" spans="1:1" x14ac:dyDescent="0.3">
      <c r="A92" s="36"/>
    </row>
    <row r="93" spans="1:1" x14ac:dyDescent="0.3">
      <c r="A93" s="36"/>
    </row>
    <row r="94" spans="1:1" x14ac:dyDescent="0.3">
      <c r="A94" s="36"/>
    </row>
    <row r="95" spans="1:1" x14ac:dyDescent="0.3">
      <c r="A95" s="36"/>
    </row>
    <row r="96" spans="1:1" x14ac:dyDescent="0.3">
      <c r="A96" s="36"/>
    </row>
    <row r="97" spans="1:1" x14ac:dyDescent="0.3">
      <c r="A97" s="36"/>
    </row>
    <row r="98" spans="1:1" x14ac:dyDescent="0.3">
      <c r="A98" s="36"/>
    </row>
    <row r="99" spans="1:1" x14ac:dyDescent="0.3">
      <c r="A99" s="36"/>
    </row>
    <row r="100" spans="1:1" x14ac:dyDescent="0.3">
      <c r="A100" s="36"/>
    </row>
    <row r="101" spans="1:1" x14ac:dyDescent="0.3">
      <c r="A101" s="36"/>
    </row>
    <row r="102" spans="1:1" x14ac:dyDescent="0.3">
      <c r="A102" s="36"/>
    </row>
    <row r="103" spans="1:1" x14ac:dyDescent="0.3">
      <c r="A103" s="36"/>
    </row>
    <row r="104" spans="1:1" x14ac:dyDescent="0.3">
      <c r="A104" s="36"/>
    </row>
    <row r="105" spans="1:1" x14ac:dyDescent="0.3">
      <c r="A105" s="36"/>
    </row>
    <row r="106" spans="1:1" x14ac:dyDescent="0.3">
      <c r="A106" s="36"/>
    </row>
    <row r="107" spans="1:1" x14ac:dyDescent="0.3">
      <c r="A107" s="36"/>
    </row>
    <row r="108" spans="1:1" x14ac:dyDescent="0.3">
      <c r="A108" s="36"/>
    </row>
    <row r="109" spans="1:1" x14ac:dyDescent="0.3">
      <c r="A109" s="36"/>
    </row>
    <row r="110" spans="1:1" x14ac:dyDescent="0.3">
      <c r="A110" s="36"/>
    </row>
    <row r="111" spans="1:1" x14ac:dyDescent="0.3">
      <c r="A111" s="36"/>
    </row>
    <row r="112" spans="1:1" x14ac:dyDescent="0.3">
      <c r="A112" s="36"/>
    </row>
    <row r="113" spans="1:1" x14ac:dyDescent="0.3">
      <c r="A113" s="36"/>
    </row>
    <row r="114" spans="1:1" x14ac:dyDescent="0.3">
      <c r="A114" s="36"/>
    </row>
    <row r="115" spans="1:1" x14ac:dyDescent="0.3">
      <c r="A115" s="36"/>
    </row>
    <row r="116" spans="1:1" x14ac:dyDescent="0.3">
      <c r="A116" s="36"/>
    </row>
    <row r="117" spans="1:1" x14ac:dyDescent="0.3">
      <c r="A117" s="36"/>
    </row>
    <row r="118" spans="1:1" x14ac:dyDescent="0.3">
      <c r="A118" s="36"/>
    </row>
    <row r="119" spans="1:1" x14ac:dyDescent="0.3">
      <c r="A119" s="36"/>
    </row>
    <row r="120" spans="1:1" x14ac:dyDescent="0.3">
      <c r="A120" s="36"/>
    </row>
    <row r="121" spans="1:1" x14ac:dyDescent="0.3">
      <c r="A121" s="36"/>
    </row>
    <row r="122" spans="1:1" x14ac:dyDescent="0.3">
      <c r="A122" s="36"/>
    </row>
    <row r="123" spans="1:1" x14ac:dyDescent="0.3">
      <c r="A123" s="36"/>
    </row>
    <row r="124" spans="1:1" x14ac:dyDescent="0.3">
      <c r="A124" s="36"/>
    </row>
    <row r="125" spans="1:1" x14ac:dyDescent="0.3">
      <c r="A125" s="36"/>
    </row>
    <row r="126" spans="1:1" x14ac:dyDescent="0.3">
      <c r="A126" s="36"/>
    </row>
    <row r="127" spans="1:1" x14ac:dyDescent="0.3">
      <c r="A127" s="36"/>
    </row>
    <row r="128" spans="1:1" x14ac:dyDescent="0.3">
      <c r="A128" s="36"/>
    </row>
    <row r="129" spans="1:1" x14ac:dyDescent="0.3">
      <c r="A129" s="36"/>
    </row>
    <row r="130" spans="1:1" x14ac:dyDescent="0.3">
      <c r="A130" s="36"/>
    </row>
    <row r="131" spans="1:1" x14ac:dyDescent="0.3">
      <c r="A131" s="36"/>
    </row>
    <row r="132" spans="1:1" x14ac:dyDescent="0.3">
      <c r="A132" s="36"/>
    </row>
    <row r="133" spans="1:1" x14ac:dyDescent="0.3">
      <c r="A133" s="36"/>
    </row>
    <row r="134" spans="1:1" x14ac:dyDescent="0.3">
      <c r="A134" s="36"/>
    </row>
    <row r="135" spans="1:1" x14ac:dyDescent="0.3">
      <c r="A135" s="36"/>
    </row>
    <row r="136" spans="1:1" x14ac:dyDescent="0.3">
      <c r="A136" s="3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 data</vt:lpstr>
      <vt:lpstr>Formula sheet</vt:lpstr>
      <vt:lpstr>CLEANED data</vt:lpstr>
      <vt:lpstr>Pivot data</vt:lpstr>
      <vt:lpstr>DASHBOARD</vt:lpstr>
      <vt:lpstr>AMAZON_SALESORDER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2026-07-01T13:10:34Z</dcterms:modified>
</cp:coreProperties>
</file>